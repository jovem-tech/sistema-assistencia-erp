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65e21cb11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f8ee7e5d3de5461b"/>
    <x:sheet xmlns:r="http://schemas.openxmlformats.org/officeDocument/2006/relationships" name="Cliente_Modelo" sheetId="2" r:id="R459be193887c4f9b"/>
    <x:sheet xmlns:r="http://schemas.openxmlformats.org/officeDocument/2006/relationships" name="Precificacao" sheetId="3" r:id="R8e3414f3669248c3"/>
    <x:sheet xmlns:r="http://schemas.openxmlformats.org/officeDocument/2006/relationships" name="Ponto_Equilibrio" sheetId="4" r:id="R46c7041afeef4100"/>
    <x:sheet xmlns:r="http://schemas.openxmlformats.org/officeDocument/2006/relationships" name="Pacotes_Referencia" sheetId="5" r:id="R201d5af7314940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R$&quot; #,##0.00"/>
    <x:numFmt numFmtId="201" formatCode="0.0%"/>
    <x:numFmt numFmtId="202" formatCode="0"/>
  </x:numFmts>
  <x:fonts count="5">
    <x:font>
      <x:sz val="11"/>
      <x:name val="Carlito"/>
    </x:font>
    <x:font>
      <x:b/>
      <x:sz val="16"/>
      <x:color rgb="FFFFFFFF"/>
      <x:name val="Calibri"/>
    </x:font>
    <x:font>
      <x:b/>
      <x:sz val="11"/>
      <x:color rgb="FF0B2545"/>
      <x:name val="Calibri"/>
    </x:font>
    <x:font>
      <x:sz val="11"/>
      <x:color rgb="FF0B2545"/>
      <x:name val="Calibri"/>
    </x:font>
    <x:font>
      <x:b/>
      <x:sz val="11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E8EEF5"/>
      </x:patternFill>
    </x:fill>
    <x:fill>
      <x:patternFill patternType="solid">
        <x:fgColor rgb="FFF3F8FF"/>
      </x:patternFill>
    </x:fill>
    <x:fill>
      <x:patternFill patternType="solid">
        <x:fgColor rgb="FFFFF8DB"/>
      </x:patternFill>
    </x:fill>
    <x:fill>
      <x:patternFill patternType="solid">
        <x:fgColor rgb="FF2E74B5"/>
      </x:patternFill>
    </x:fill>
  </x:fills>
  <x:borders count="11">
    <x:border/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D1D5DB"/>
      </x:top>
    </x:border>
    <x:border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4" borderId="0" xfId="0" applyNumberFormat="1" applyFont="1" applyFill="1" applyBorder="1"/>
    <x:xf numFmtId="0" fontId="3" fillId="5" borderId="0" xfId="0" applyNumberFormat="1" applyFont="1" applyFill="1" applyBorder="1"/>
    <x:xf numFmtId="200" fontId="3" fillId="4" borderId="0" xfId="0" applyNumberFormat="1" applyFont="1" applyFill="1" applyBorder="1"/>
    <x:xf numFmtId="201" fontId="3" fillId="4" borderId="0" xfId="0" applyNumberFormat="1" applyFont="1" applyFill="1" applyBorder="1"/>
    <x:xf numFmtId="202" fontId="3" fillId="4" borderId="0" xfId="0" applyNumberFormat="1" applyFont="1" applyFill="1" applyBorder="1"/>
    <x:xf numFmtId="200" fontId="3" fillId="5" borderId="0" xfId="0" applyNumberFormat="1" applyFont="1" applyFill="1" applyBorder="1"/>
    <x:xf numFmtId="201" fontId="3" fillId="5" borderId="0" xfId="0" applyNumberFormat="1" applyFont="1" applyFill="1" applyBorder="1"/>
    <x:xf numFmtId="201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2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6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200" fontId="3" fillId="4" borderId="2" xfId="0" applyNumberFormat="1" applyFont="1" applyFill="1" applyBorder="1"/>
    <x:xf numFmtId="0" fontId="2" fillId="0" borderId="3" xfId="0" applyNumberFormat="1" applyFont="1" applyFill="1" applyBorder="1"/>
    <x:xf numFmtId="200" fontId="3" fillId="4" borderId="4" xfId="0" applyNumberFormat="1" applyFont="1" applyFill="1" applyBorder="1"/>
    <x:xf numFmtId="201" fontId="3" fillId="4" borderId="4" xfId="0" applyNumberFormat="1" applyFont="1" applyFill="1" applyBorder="1"/>
    <x:xf numFmtId="0" fontId="2" fillId="0" borderId="5" xfId="0" applyNumberFormat="1" applyFont="1" applyFill="1" applyBorder="1"/>
    <x:xf numFmtId="200" fontId="3" fillId="4" borderId="6" xfId="0" applyNumberFormat="1" applyFont="1" applyFill="1" applyBorder="1"/>
    <x:xf numFmtId="0" fontId="3" fillId="0" borderId="1" xfId="0" applyNumberFormat="1" applyFont="1" applyFill="1" applyBorder="1"/>
    <x:xf numFmtId="0" fontId="3" fillId="4" borderId="2" xfId="0" applyNumberFormat="1" applyFont="1" applyFill="1" applyBorder="1"/>
    <x:xf numFmtId="0" fontId="3" fillId="0" borderId="3" xfId="0" applyNumberFormat="1" applyFont="1" applyFill="1" applyBorder="1"/>
    <x:xf numFmtId="0" fontId="3" fillId="4" borderId="4" xfId="0" applyNumberFormat="1" applyFont="1" applyFill="1" applyBorder="1"/>
    <x:xf numFmtId="0" fontId="3" fillId="0" borderId="5" xfId="0" applyNumberFormat="1" applyFont="1" applyFill="1" applyBorder="1"/>
    <x:xf numFmtId="202" fontId="3" fillId="4" borderId="6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200" fontId="3" fillId="4" borderId="4" xfId="0" applyNumberFormat="1" applyFont="1" applyFill="1" applyBorder="1" applyAlignment="1">
      <x:alignment wrapText="1"/>
    </x:xf>
    <x:xf numFmtId="201" fontId="3" fillId="4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200" fontId="3" fillId="4" borderId="8" xfId="0" applyNumberFormat="1" applyFont="1" applyFill="1" applyBorder="1" applyAlignment="1">
      <x:alignment wrapText="1"/>
    </x:xf>
    <x:xf numFmtId="200" fontId="3" fillId="4" borderId="6" xfId="0" applyNumberFormat="1" applyFont="1" applyFill="1" applyBorder="1" applyAlignment="1">
      <x:alignment wrapText="1"/>
    </x:xf>
    <x:xf numFmtId="0" fontId="3" fillId="5" borderId="2" xfId="0" applyNumberFormat="1" applyFont="1" applyFill="1" applyBorder="1"/>
    <x:xf numFmtId="0" fontId="3" fillId="5" borderId="4" xfId="0" applyNumberFormat="1" applyFont="1" applyFill="1" applyBorder="1"/>
    <x:xf numFmtId="200" fontId="3" fillId="5" borderId="4" xfId="0" applyNumberFormat="1" applyFont="1" applyFill="1" applyBorder="1"/>
    <x:xf numFmtId="200" fontId="3" fillId="5" borderId="6" xfId="0" applyNumberFormat="1" applyFont="1" applyFill="1" applyBorder="1"/>
    <x:xf numFmtId="201" fontId="3" fillId="5" borderId="2" xfId="0" applyNumberFormat="1" applyFont="1" applyFill="1" applyBorder="1"/>
    <x:xf numFmtId="0" fontId="3" fillId="0" borderId="9" xfId="0" applyNumberFormat="1" applyFont="1" applyFill="1" applyBorder="1"/>
    <x:xf numFmtId="200" fontId="3" fillId="5" borderId="10" xfId="0" applyNumberFormat="1" applyFont="1" applyFill="1" applyBorder="1"/>
    <x:xf numFmtId="201" fontId="3" fillId="4" borderId="6" xfId="0" applyNumberFormat="1" applyFont="1" applyFill="1" applyBorder="1"/>
    <x:xf numFmtId="201" fontId="3" fillId="0" borderId="7" xfId="0" applyNumberFormat="1" applyFont="1" applyFill="1" applyBorder="1"/>
    <x:xf numFmtId="201" fontId="3" fillId="0" borderId="2" xfId="0" applyNumberFormat="1" applyFont="1" applyFill="1" applyBorder="1"/>
    <x:xf numFmtId="200" fontId="3" fillId="4" borderId="8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200" fontId="3" fillId="5" borderId="2" xfId="0" applyNumberFormat="1" applyFont="1" applyFill="1" applyBorder="1"/>
    <x:xf numFmtId="201" fontId="3" fillId="5" borderId="4" xfId="0" applyNumberFormat="1" applyFont="1" applyFill="1" applyBorder="1"/>
    <x:xf numFmtId="0" fontId="3" fillId="4" borderId="6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200" fontId="3" fillId="0" borderId="8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59d7fa3923448f" /><Relationship Type="http://schemas.openxmlformats.org/officeDocument/2006/relationships/theme" Target="/xl/theme/theme1.xml" Id="R4c43b2937f8d4b65" /><Relationship Type="http://schemas.openxmlformats.org/officeDocument/2006/relationships/sharedStrings" Target="/xl/sharedStrings.xml" Id="Ra7ef2ee00cb14831" /><Relationship Type="http://schemas.openxmlformats.org/officeDocument/2006/relationships/worksheet" Target="/xl/worksheets/sheet1.xml" Id="Rf8ee7e5d3de5461b" /><Relationship Type="http://schemas.openxmlformats.org/officeDocument/2006/relationships/worksheet" Target="/xl/worksheets/sheet2.xml" Id="R459be193887c4f9b" /><Relationship Type="http://schemas.openxmlformats.org/officeDocument/2006/relationships/worksheet" Target="/xl/worksheets/sheet3.xml" Id="R8e3414f3669248c3" /><Relationship Type="http://schemas.openxmlformats.org/officeDocument/2006/relationships/worksheet" Target="/xl/worksheets/sheet4.xml" Id="R46c7041afeef4100" /><Relationship Type="http://schemas.openxmlformats.org/officeDocument/2006/relationships/worksheet" Target="/xl/worksheets/sheet5.xml" Id="R201d5af7314940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1.380001068115234" hidden="0" customWidth="1"/>
    <x:col min="2" max="2" width="41.380001068115234" hidden="0" customWidth="1"/>
    <x:col min="3" max="3" width="41.380001068115234" hidden="0" customWidth="1"/>
    <x:col min="4" max="4" width="41.380001068115234" hidden="0" customWidth="1"/>
    <x:col min="5" max="5" width="41.380001068115234" hidden="0" customWidth="1"/>
    <x:col min="6" max="6" width="41.380001068115234" hidden="0" customWidth="1"/>
    <x:col min="7" max="7" width="41.380001068115234" hidden="0" customWidth="1"/>
    <x:col min="8" max="8" width="41.380001068115234" hidden="0" customWidth="1"/>
  </x:cols>
  <x:sheetData>
    <x:row r="1" ht="15" hidden="0" customHeight="1">
      <x:c r="A1" s="9" t="str">
        <x:v>MODELO FINANCEIRO - CONTRATO DE MANUTENCAO</x:v>
      </x:c>
      <x:c r="B1" s="9" t="str">
        <x:v>MODELO FINANCEIRO - CONTRATO DE MANUTENCAO</x:v>
      </x:c>
      <x:c r="C1" s="9" t="str">
        <x:v>MODELO FINANCEIRO - CONTRATO DE MANUTENCAO</x:v>
      </x:c>
      <x:c r="D1" s="9" t="str">
        <x:v>MODELO FINANCEIRO - CONTRATO DE MANUTENCAO</x:v>
      </x:c>
      <x:c r="E1" s="9" t="str">
        <x:v>MODELO FINANCEIRO - CONTRATO DE MANUTENCAO</x:v>
      </x:c>
      <x:c r="F1" s="9" t="str">
        <x:v>MODELO FINANCEIRO - CONTRATO DE MANUTENCAO</x:v>
      </x:c>
      <x:c r="G1" s="9" t="str">
        <x:v>MODELO FINANCEIRO - CONTRATO DE MANUTENCAO</x:v>
      </x:c>
      <x:c r="H1" s="9" t="str">
        <x:v>MODELO FINANCEIRO - CONTRATO DE MANUTENCAO</x:v>
      </x:c>
    </x:row>
    <x:row r="2" ht="15" hidden="0" customHeight="1">
      <x:c r="A2" s="10"/>
      <x:c r="B2" s="10"/>
      <x:c r="C2" s="10"/>
      <x:c r="D2" s="10"/>
      <x:c r="E2" s="10"/>
      <x:c r="F2" s="10"/>
      <x:c r="G2" s="10"/>
      <x:c r="H2" s="10"/>
    </x:row>
    <x:row r="3" ht="15" hidden="0" customHeight="1">
      <x:c r="A3" s="30" t="str">
        <x:v>Receita mensal total</x:v>
      </x:c>
      <x:c r="B3" s="31" t="n">
        <x:f>'Cliente_Modelo'!B20</x:f>
        <x:v>4830</x:v>
      </x:c>
      <x:c r="C3" s="10"/>
      <x:c r="D3" s="37" t="str">
        <x:v>Leitura executiva</x:v>
      </x:c>
      <x:c r="E3" s="38" t="str">
        <x:f>IF(B8&lt;0.15,"Margem operacional critica",IF(B8&lt;0.25,"Margem operacional ajustavel","Margem operacional saudavel"))</x:f>
        <x:v>Margem operacional saudavel</x:v>
      </x:c>
      <x:c r="F3" s="10"/>
      <x:c r="G3" s="10"/>
      <x:c r="H3" s="10"/>
    </x:row>
    <x:row r="4" ht="15" hidden="0" customHeight="1">
      <x:c r="A4" s="32" t="str">
        <x:v>Custo direto total</x:v>
      </x:c>
      <x:c r="B4" s="33" t="n">
        <x:f>'Cliente_Modelo'!B21</x:f>
        <x:v>1700</x:v>
      </x:c>
      <x:c r="C4" s="10"/>
      <x:c r="D4" s="39" t="str">
        <x:v>Cliente modelo</x:v>
      </x:c>
      <x:c r="E4" s="40" t="str">
        <x:f>'Cliente_Modelo'!B4</x:f>
        <x:v>Cliente Exemplo LTDA</x:v>
      </x:c>
      <x:c r="F4" s="10"/>
      <x:c r="G4" s="10"/>
      <x:c r="H4" s="10"/>
    </x:row>
    <x:row r="5" ht="15" hidden="0" customHeight="1">
      <x:c r="A5" s="32" t="str">
        <x:v>Lucro bruto</x:v>
      </x:c>
      <x:c r="B5" s="33" t="n">
        <x:f>'Cliente_Modelo'!B22</x:f>
        <x:v>3130</x:v>
      </x:c>
      <x:c r="C5" s="10"/>
      <x:c r="D5" s="39" t="str">
        <x:v>Plano de referencia</x:v>
      </x:c>
      <x:c r="E5" s="40" t="str">
        <x:f>'Cliente_Modelo'!B5</x:f>
        <x:v>Continuidade</x:v>
      </x:c>
      <x:c r="F5" s="10"/>
      <x:c r="G5" s="10"/>
      <x:c r="H5" s="10"/>
    </x:row>
    <x:row r="6" ht="15" hidden="0" customHeight="1">
      <x:c r="A6" s="32" t="str">
        <x:v>Margem bruta</x:v>
      </x:c>
      <x:c r="B6" s="34" t="n">
        <x:f>'Cliente_Modelo'!B23</x:f>
        <x:v>0.6480331262939959</x:v>
      </x:c>
      <x:c r="C6" s="10"/>
      <x:c r="D6" s="39" t="str">
        <x:v>Faixa de decisao</x:v>
      </x:c>
      <x:c r="E6" s="40" t="str">
        <x:f>TEXT('Precificacao'!B4,"0%")&amp;" a "&amp;TEXT('Precificacao'!E4,"0%")</x:f>
        <x:v>45% a 60%</x:v>
      </x:c>
      <x:c r="F6" s="10"/>
      <x:c r="G6" s="10"/>
      <x:c r="H6" s="10"/>
    </x:row>
    <x:row r="7" ht="15" hidden="0" customHeight="1">
      <x:c r="A7" s="32" t="str">
        <x:v>Lucro operacional</x:v>
      </x:c>
      <x:c r="B7" s="33" t="n">
        <x:f>'Cliente_Modelo'!B24</x:f>
        <x:v>2430</x:v>
      </x:c>
      <x:c r="C7" s="10"/>
      <x:c r="D7" s="39" t="str">
        <x:v>Receita recorrente necessaria</x:v>
      </x:c>
      <x:c r="E7" s="33" t="n">
        <x:f>'Ponto_Equilibrio'!B10</x:f>
        <x:v>50909.090909090904</x:v>
      </x:c>
      <x:c r="F7" s="10"/>
      <x:c r="G7" s="10"/>
      <x:c r="H7" s="10"/>
    </x:row>
    <x:row r="8" ht="15" hidden="0" customHeight="1">
      <x:c r="A8" s="32" t="str">
        <x:v>Margem operacional</x:v>
      </x:c>
      <x:c r="B8" s="34" t="n">
        <x:f>'Cliente_Modelo'!B25</x:f>
        <x:v>0.5031055900621118</x:v>
      </x:c>
      <x:c r="C8" s="10"/>
      <x:c r="D8" s="41" t="str">
        <x:v>Contratos medios para equilibrio</x:v>
      </x:c>
      <x:c r="E8" s="42" t="n">
        <x:f>'Ponto_Equilibrio'!B11</x:f>
        <x:v>17</x:v>
      </x:c>
      <x:c r="F8" s="10"/>
      <x:c r="G8" s="10"/>
      <x:c r="H8" s="10"/>
    </x:row>
    <x:row r="9" ht="15" hidden="0" customHeight="1">
      <x:c r="A9" s="35" t="str">
        <x:v>Fee de onboarding sugerido</x:v>
      </x:c>
      <x:c r="B9" s="36" t="n">
        <x:f>'Cliente_Modelo'!E20</x:f>
        <x:v>5796</x:v>
      </x:c>
      <x:c r="C9" s="10"/>
      <x:c r="D9" s="10"/>
      <x:c r="E9" s="10"/>
      <x:c r="F9" s="10"/>
      <x:c r="G9" s="10"/>
      <x:c r="H9" s="10"/>
    </x:row>
    <x:row r="10" ht="15" hidden="0" customHeight="1">
      <x:c r="A10" s="20"/>
      <x:c r="B10" s="10"/>
      <x:c r="C10" s="10"/>
      <x:c r="D10" s="10"/>
      <x:c r="E10" s="10"/>
      <x:c r="F10" s="10"/>
      <x:c r="G10" s="10"/>
      <x:c r="H10" s="10"/>
    </x:row>
    <x:row r="11" ht="15" hidden="0" customHeight="1">
      <x:c r="A11" s="8" t="str">
        <x:v>Precos minimos por margem alvo</x:v>
      </x:c>
      <x:c r="B11" s="8" t="str">
        <x:v>Precos minimos por margem alvo</x:v>
      </x:c>
      <x:c r="C11" s="8" t="str">
        <x:v>Precos minimos por margem alvo</x:v>
      </x:c>
      <x:c r="D11" s="8" t="str">
        <x:v>Precos minimos por margem alvo</x:v>
      </x:c>
      <x:c r="E11" s="8" t="str">
        <x:v>Precos minimos por margem alvo</x:v>
      </x:c>
      <x:c r="F11" s="10"/>
      <x:c r="G11" s="10"/>
      <x:c r="H11" s="10"/>
    </x:row>
    <x:row r="12" ht="15" hidden="0" customHeight="1">
      <x:c r="A12" s="43" t="str">
        <x:v>Indicador</x:v>
      </x:c>
      <x:c r="B12" s="44" t="str">
        <x:v>45%</x:v>
      </x:c>
      <x:c r="C12" s="44" t="str">
        <x:v>50%</x:v>
      </x:c>
      <x:c r="D12" s="44" t="str">
        <x:v>55%</x:v>
      </x:c>
      <x:c r="E12" s="45" t="str">
        <x:v>60%</x:v>
      </x:c>
      <x:c r="F12" s="10"/>
      <x:c r="G12" s="10"/>
      <x:c r="H12" s="10"/>
    </x:row>
    <x:row r="13" ht="15" hidden="0" customHeight="1">
      <x:c r="A13" s="46" t="str">
        <x:v>Preco minimo mensal</x:v>
      </x:c>
      <x:c r="B13" s="25" t="n">
        <x:f>'Precificacao'!B6</x:f>
        <x:v>3090.9090909090905</x:v>
      </x:c>
      <x:c r="C13" s="25" t="n">
        <x:f>'Precificacao'!C6</x:f>
        <x:v>3400</x:v>
      </x:c>
      <x:c r="D13" s="25" t="n">
        <x:f>'Precificacao'!D6</x:f>
        <x:v>3777.7777777777783</x:v>
      </x:c>
      <x:c r="E13" s="47" t="n">
        <x:f>'Precificacao'!E6</x:f>
        <x:v>4250</x:v>
      </x:c>
      <x:c r="F13" s="10"/>
      <x:c r="G13" s="10"/>
      <x:c r="H13" s="10"/>
    </x:row>
    <x:row r="14" ht="15" hidden="0" customHeight="1">
      <x:c r="A14" s="46" t="str">
        <x:v>Lucro bruto</x:v>
      </x:c>
      <x:c r="B14" s="25" t="n">
        <x:f>'Precificacao'!B7</x:f>
        <x:v>1390.9090909090905</x:v>
      </x:c>
      <x:c r="C14" s="25" t="n">
        <x:f>'Precificacao'!C7</x:f>
        <x:v>1700</x:v>
      </x:c>
      <x:c r="D14" s="25" t="n">
        <x:f>'Precificacao'!D7</x:f>
        <x:v>2077.7777777777783</x:v>
      </x:c>
      <x:c r="E14" s="47" t="n">
        <x:f>'Precificacao'!E7</x:f>
        <x:v>2550</x:v>
      </x:c>
      <x:c r="F14" s="10"/>
      <x:c r="G14" s="10"/>
      <x:c r="H14" s="10"/>
    </x:row>
    <x:row r="15" ht="15" hidden="0" customHeight="1">
      <x:c r="A15" s="46" t="str">
        <x:v>Margem bruta</x:v>
      </x:c>
      <x:c r="B15" s="26" t="n">
        <x:f>'Precificacao'!B8</x:f>
        <x:v>0.44999999999999996</x:v>
      </x:c>
      <x:c r="C15" s="26" t="n">
        <x:f>'Precificacao'!C8</x:f>
        <x:v>0.5</x:v>
      </x:c>
      <x:c r="D15" s="26" t="n">
        <x:f>'Precificacao'!D8</x:f>
        <x:v>0.55</x:v>
      </x:c>
      <x:c r="E15" s="48" t="n">
        <x:f>'Precificacao'!E8</x:f>
        <x:v>0.6</x:v>
      </x:c>
      <x:c r="F15" s="10"/>
      <x:c r="G15" s="10"/>
      <x:c r="H15" s="10"/>
    </x:row>
    <x:row r="16" ht="15" hidden="0" customHeight="1">
      <x:c r="A16" s="49" t="str">
        <x:v>Preco com folga comercial</x:v>
      </x:c>
      <x:c r="B16" s="50" t="n">
        <x:f>'Precificacao'!B9</x:f>
        <x:v>3245.454545454545</x:v>
      </x:c>
      <x:c r="C16" s="50" t="n">
        <x:f>'Precificacao'!C9</x:f>
        <x:v>3570</x:v>
      </x:c>
      <x:c r="D16" s="50" t="n">
        <x:f>'Precificacao'!D9</x:f>
        <x:v>3966.6666666666674</x:v>
      </x:c>
      <x:c r="E16" s="51" t="n">
        <x:f>'Precificacao'!E9</x:f>
        <x:v>4462.5</x:v>
      </x:c>
      <x:c r="F16" s="10"/>
      <x:c r="G16" s="10"/>
      <x:c r="H16" s="10"/>
    </x:row>
    <x:row r="17" ht="15" hidden="0" customHeight="1">
      <x:c r="A17" s="10"/>
      <x:c r="B17" s="10"/>
      <x:c r="C17" s="10"/>
      <x:c r="D17" s="10"/>
      <x:c r="E17" s="10"/>
      <x:c r="F17" s="10"/>
      <x:c r="G17" s="10"/>
      <x:c r="H17" s="10"/>
    </x:row>
    <x:row r="18" ht="15" hidden="0" customHeight="1">
      <x:c r="A18" s="10"/>
      <x:c r="B18" s="10"/>
      <x:c r="C18" s="10"/>
      <x:c r="D18" s="10"/>
      <x:c r="E18" s="10"/>
      <x:c r="F18" s="10"/>
      <x:c r="G18" s="10"/>
      <x:c r="H18" s="10"/>
    </x:row>
    <x:row r="19" ht="15" hidden="0" customHeight="1">
      <x:c r="A19" s="10"/>
      <x:c r="B19" s="10"/>
      <x:c r="C19" s="10"/>
      <x:c r="D19" s="10"/>
      <x:c r="E19" s="10"/>
      <x:c r="F19" s="10"/>
      <x:c r="G19" s="10"/>
      <x:c r="H19" s="10"/>
    </x:row>
    <x:row r="20" ht="15" hidden="0" customHeight="1">
      <x:c r="A20" s="10"/>
      <x:c r="B20" s="10"/>
      <x:c r="C20" s="10"/>
      <x:c r="D20" s="10"/>
      <x:c r="E20" s="10"/>
      <x:c r="F20" s="10"/>
      <x:c r="G20" s="10"/>
      <x:c r="H20" s="10"/>
    </x:row>
    <x:row r="21">
      <x:c r="A21" s="10"/>
      <x:c r="B21" s="10"/>
      <x:c r="C21" s="10"/>
      <x:c r="D21" s="10"/>
      <x:c r="E21" s="10"/>
      <x:c r="F21" s="10"/>
      <x:c r="G21" s="10"/>
      <x:c r="H21" s="10"/>
    </x:row>
    <x:row r="22">
      <x:c r="A22" s="10"/>
      <x:c r="B22" s="10"/>
      <x:c r="C22" s="10"/>
      <x:c r="D22" s="10"/>
      <x:c r="E22" s="10"/>
      <x:c r="F22" s="10"/>
      <x:c r="G22" s="10"/>
      <x:c r="H22" s="10"/>
    </x:row>
    <x:row r="23">
      <x:c r="A23" s="10"/>
      <x:c r="B23" s="10"/>
      <x:c r="C23" s="10"/>
      <x:c r="D23" s="10"/>
      <x:c r="E23" s="10"/>
      <x:c r="F23" s="10"/>
      <x:c r="G23" s="10"/>
      <x:c r="H23" s="10"/>
    </x:row>
    <x:row r="24">
      <x:c r="A24" s="10"/>
      <x:c r="B24" s="10"/>
      <x:c r="C24" s="10"/>
      <x:c r="D24" s="10"/>
      <x:c r="E24" s="10"/>
      <x:c r="F24" s="10"/>
      <x:c r="G24" s="10"/>
      <x:c r="H24" s="10"/>
    </x:row>
    <x:row r="25">
      <x:c r="A25" s="10"/>
      <x:c r="B25" s="10"/>
      <x:c r="C25" s="10"/>
      <x:c r="D25" s="10"/>
      <x:c r="E25" s="10"/>
      <x:c r="F25" s="10"/>
      <x:c r="G25" s="10"/>
      <x:c r="H25" s="10"/>
    </x:row>
    <x:row r="26">
      <x:c r="A26" s="10"/>
      <x:c r="B26" s="10"/>
      <x:c r="C26" s="10"/>
      <x:c r="D26" s="10"/>
      <x:c r="E26" s="10"/>
      <x:c r="F26" s="10"/>
      <x:c r="G26" s="10"/>
      <x:c r="H26" s="10"/>
    </x:row>
    <x:row r="27">
      <x:c r="A27" s="10"/>
      <x:c r="B27" s="10"/>
      <x:c r="C27" s="10"/>
      <x:c r="D27" s="10"/>
      <x:c r="E27" s="10"/>
      <x:c r="F27" s="10"/>
      <x:c r="G27" s="10"/>
      <x:c r="H27" s="10"/>
    </x:row>
    <x:row r="28">
      <x:c r="A28" s="10"/>
      <x:c r="B28" s="10"/>
      <x:c r="C28" s="10"/>
      <x:c r="D28" s="10"/>
      <x:c r="E28" s="10"/>
      <x:c r="F28" s="10"/>
      <x:c r="G28" s="10"/>
      <x:c r="H28" s="10"/>
    </x:row>
    <x:row r="29">
      <x:c r="A29" s="10"/>
      <x:c r="B29" s="10"/>
      <x:c r="C29" s="10"/>
      <x:c r="D29" s="10"/>
      <x:c r="E29" s="10"/>
      <x:c r="F29" s="10"/>
      <x:c r="G29" s="10"/>
      <x:c r="H29" s="10"/>
    </x:row>
    <x:row r="30">
      <x:c r="A30" s="10"/>
      <x:c r="B30" s="10"/>
      <x:c r="C30" s="10"/>
      <x:c r="D30" s="10"/>
      <x:c r="E30" s="10"/>
      <x:c r="F30" s="10"/>
      <x:c r="G30" s="10"/>
      <x:c r="H30" s="10"/>
    </x:row>
    <x:row r="31">
      <x:c r="A31" s="10"/>
      <x:c r="B31" s="10"/>
      <x:c r="C31" s="10"/>
      <x:c r="D31" s="10"/>
      <x:c r="E31" s="10"/>
      <x:c r="F31" s="10"/>
      <x:c r="G31" s="10"/>
      <x:c r="H31" s="10"/>
    </x:row>
    <x:row r="32">
      <x:c r="A32" s="10"/>
      <x:c r="B32" s="10"/>
      <x:c r="C32" s="10"/>
      <x:c r="D32" s="10"/>
      <x:c r="E32" s="10"/>
      <x:c r="F32" s="10"/>
      <x:c r="G32" s="10"/>
      <x:c r="H32" s="10"/>
    </x:row>
    <x:row r="33">
      <x:c r="A33" s="10"/>
      <x:c r="B33" s="10"/>
      <x:c r="C33" s="10"/>
      <x:c r="D33" s="10"/>
      <x:c r="E33" s="10"/>
      <x:c r="F33" s="10"/>
      <x:c r="G33" s="10"/>
      <x:c r="H33" s="10"/>
    </x:row>
    <x:row r="34">
      <x:c r="A34" s="10"/>
      <x:c r="B34" s="10"/>
      <x:c r="C34" s="10"/>
      <x:c r="D34" s="10"/>
      <x:c r="E34" s="10"/>
      <x:c r="F34" s="10"/>
      <x:c r="G34" s="10"/>
      <x:c r="H34" s="10"/>
    </x:row>
    <x:row r="35">
      <x:c r="A35" s="10"/>
      <x:c r="B35" s="10"/>
      <x:c r="C35" s="10"/>
      <x:c r="D35" s="10"/>
      <x:c r="E35" s="10"/>
      <x:c r="F35" s="10"/>
      <x:c r="G35" s="10"/>
      <x:c r="H35" s="10"/>
    </x:row>
    <x:row r="36">
      <x:c r="A36" s="10"/>
      <x:c r="B36" s="10"/>
      <x:c r="C36" s="10"/>
      <x:c r="D36" s="10"/>
      <x:c r="E36" s="10"/>
      <x:c r="F36" s="10"/>
      <x:c r="G36" s="10"/>
      <x:c r="H36" s="10"/>
    </x:row>
    <x:row r="37">
      <x:c r="A37" s="10"/>
      <x:c r="B37" s="10"/>
      <x:c r="C37" s="10"/>
      <x:c r="D37" s="10"/>
      <x:c r="E37" s="10"/>
      <x:c r="F37" s="10"/>
      <x:c r="G37" s="10"/>
      <x:c r="H37" s="10"/>
    </x:row>
    <x:row r="38">
      <x:c r="A38" s="10"/>
      <x:c r="B38" s="10"/>
      <x:c r="C38" s="10"/>
      <x:c r="D38" s="10"/>
      <x:c r="E38" s="10"/>
      <x:c r="F38" s="10"/>
      <x:c r="G38" s="10"/>
      <x:c r="H38" s="10"/>
    </x:row>
    <x:row r="39">
      <x:c r="A39" s="10"/>
      <x:c r="B39" s="10"/>
      <x:c r="C39" s="10"/>
      <x:c r="D39" s="10"/>
      <x:c r="E39" s="10"/>
      <x:c r="F39" s="10"/>
      <x:c r="G39" s="10"/>
      <x:c r="H39" s="10"/>
    </x:row>
    <x:row r="40">
      <x:c r="A40" s="10"/>
      <x:c r="B40" s="10"/>
      <x:c r="C40" s="10"/>
      <x:c r="D40" s="10"/>
      <x:c r="E40" s="10"/>
      <x:c r="F40" s="10"/>
      <x:c r="G40" s="10"/>
      <x:c r="H40" s="10"/>
    </x:row>
  </x:sheetData>
  <x:mergeCells>
    <x:mergeCell ref="A1:H1"/>
    <x:mergeCell ref="A11:E11"/>
  </x:mergeCells>
  <x:conditionalFormatting sqref="B6:B6">
    <x:cfRule type="expression" dxfId="0" priority="1">
      <x:formula>B6&lt;0.45</x:formula>
    </x:cfRule>
    <x:cfRule type="expression" dxfId="1" priority="2">
      <x:formula>AND(B6&gt;=0.45,B6&lt;0.55)</x:formula>
    </x:cfRule>
    <x:cfRule type="expression" dxfId="2" priority="3">
      <x:formula>B6&gt;=0.55</x:formula>
    </x:cfRule>
  </x:conditionalFormatting>
  <x:conditionalFormatting sqref="B8:B8">
    <x:cfRule type="expression" dxfId="3" priority="4">
      <x:formula>B8&lt;0.15</x:formula>
    </x:cfRule>
    <x:cfRule type="expression" dxfId="4" priority="5">
      <x:formula>AND(B8&gt;=0.15,B8&lt;0.25)</x:formula>
    </x:cfRule>
    <x:cfRule type="expression" dxfId="5" priority="6">
      <x:formula>B8&gt;=0.25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1.380001068115234" hidden="0" customWidth="1"/>
    <x:col min="2" max="2" width="41.380001068115234" hidden="0" customWidth="1"/>
    <x:col min="3" max="3" width="41.380001068115234" hidden="0" customWidth="1"/>
    <x:col min="4" max="4" width="41.380001068115234" hidden="0" customWidth="1"/>
    <x:col min="5" max="5" width="41.380001068115234" hidden="0" customWidth="1"/>
    <x:col min="6" max="6" width="41.380001068115234" hidden="0" customWidth="1"/>
  </x:cols>
  <x:sheetData>
    <x:row r="1" ht="15" hidden="0" customHeight="1">
      <x:c r="A1" s="9" t="str">
        <x:v>MODELO FINANCEIRO - CONTRATO DE MANUTENCAO</x:v>
      </x:c>
      <x:c r="B1" s="9" t="str">
        <x:v>MODELO FINANCEIRO - CONTRATO DE MANUTENCAO</x:v>
      </x:c>
      <x:c r="C1" s="9" t="str">
        <x:v>MODELO FINANCEIRO - CONTRATO DE MANUTENCAO</x:v>
      </x:c>
      <x:c r="D1" s="9" t="str">
        <x:v>MODELO FINANCEIRO - CONTRATO DE MANUTENCAO</x:v>
      </x:c>
      <x:c r="E1" s="9" t="str">
        <x:v>MODELO FINANCEIRO - CONTRATO DE MANUTENCAO</x:v>
      </x:c>
      <x:c r="F1" s="9" t="str">
        <x:v>MODELO FINANCEIRO - CONTRATO DE MANUTENCAO</x:v>
      </x:c>
      <x:c r="G1" s="10"/>
      <x:c r="H1" s="10"/>
    </x:row>
    <x:row r="2" ht="15" hidden="0" customHeight="1">
      <x:c r="A2" s="10"/>
      <x:c r="B2" s="10"/>
      <x:c r="C2" s="10"/>
      <x:c r="D2" s="10"/>
      <x:c r="E2" s="10"/>
      <x:c r="F2" s="10"/>
      <x:c r="G2" s="10"/>
      <x:c r="H2" s="10"/>
    </x:row>
    <x:row r="3" ht="15" hidden="0" customHeight="1">
      <x:c r="A3" s="8" t="str">
        <x:v>Dados do cliente e receita</x:v>
      </x:c>
      <x:c r="B3" s="8" t="str">
        <x:v>Dados do cliente e receita</x:v>
      </x:c>
      <x:c r="C3" s="10"/>
      <x:c r="D3" s="10"/>
      <x:c r="E3" s="10"/>
      <x:c r="F3" s="10"/>
      <x:c r="G3" s="10"/>
      <x:c r="H3" s="10"/>
    </x:row>
    <x:row r="4" ht="15" hidden="0" customHeight="1">
      <x:c r="A4" s="30" t="str">
        <x:v>Nome do cliente</x:v>
      </x:c>
      <x:c r="B4" s="52" t="str">
        <x:v>Cliente Exemplo LTDA</x:v>
      </x:c>
      <x:c r="C4" s="10"/>
      <x:c r="D4" s="10"/>
      <x:c r="E4" s="10"/>
      <x:c r="F4" s="10"/>
      <x:c r="G4" s="10"/>
      <x:c r="H4" s="10"/>
    </x:row>
    <x:row r="5" ht="15" hidden="0" customHeight="1">
      <x:c r="A5" s="32" t="str">
        <x:v>Plano de referencia</x:v>
      </x:c>
      <x:c r="B5" s="53" t="str">
        <x:v>Continuidade</x:v>
      </x:c>
      <x:c r="C5" s="10"/>
      <x:c r="D5" s="10"/>
      <x:c r="E5" s="10"/>
      <x:c r="F5" s="10"/>
      <x:c r="G5" s="10"/>
      <x:c r="H5" s="10"/>
    </x:row>
    <x:row r="6" ht="15" hidden="0" customHeight="1">
      <x:c r="A6" s="32" t="str">
        <x:v>Mensalidade base do plano</x:v>
      </x:c>
      <x:c r="B6" s="54" t="n">
        <x:v>2990</x:v>
      </x:c>
      <x:c r="C6" s="10"/>
      <x:c r="D6" s="10"/>
      <x:c r="E6" s="10"/>
      <x:c r="F6" s="10"/>
      <x:c r="G6" s="10"/>
      <x:c r="H6" s="10"/>
    </x:row>
    <x:row r="7" ht="15" hidden="0" customHeight="1">
      <x:c r="A7" s="32" t="str">
        <x:v>Qtd. ativos extras comuns</x:v>
      </x:c>
      <x:c r="B7" s="54" t="n">
        <x:v>12</x:v>
      </x:c>
      <x:c r="C7" s="10"/>
      <x:c r="D7" s="10"/>
      <x:c r="E7" s="10"/>
      <x:c r="F7" s="10"/>
      <x:c r="G7" s="10"/>
      <x:c r="H7" s="10"/>
    </x:row>
    <x:row r="8" ht="15" hidden="0" customHeight="1">
      <x:c r="A8" s="32" t="str">
        <x:v>Valor por ativo extra</x:v>
      </x:c>
      <x:c r="B8" s="54" t="n">
        <x:v>95</x:v>
      </x:c>
      <x:c r="C8" s="10"/>
      <x:c r="D8" s="10"/>
      <x:c r="E8" s="10"/>
      <x:c r="F8" s="10"/>
      <x:c r="G8" s="10"/>
      <x:c r="H8" s="10"/>
    </x:row>
    <x:row r="9" ht="15" hidden="0" customHeight="1">
      <x:c r="A9" s="32" t="str">
        <x:v>Qtd. ativos criticos</x:v>
      </x:c>
      <x:c r="B9" s="54" t="n">
        <x:v>2</x:v>
      </x:c>
      <x:c r="C9" s="10"/>
      <x:c r="D9" s="10"/>
      <x:c r="E9" s="10"/>
      <x:c r="F9" s="10"/>
      <x:c r="G9" s="10"/>
      <x:c r="H9" s="10"/>
    </x:row>
    <x:row r="10" ht="15" hidden="0" customHeight="1">
      <x:c r="A10" s="35" t="str">
        <x:v>Valor por ativo critico</x:v>
      </x:c>
      <x:c r="B10" s="55" t="n">
        <x:v>350</x:v>
      </x:c>
      <x:c r="C10" s="10"/>
      <x:c r="D10" s="10"/>
      <x:c r="E10" s="10"/>
      <x:c r="F10" s="10"/>
      <x:c r="G10" s="10"/>
      <x:c r="H10" s="10"/>
    </x:row>
    <x:row r="11" ht="15" hidden="0" customHeight="1">
      <x:c r="A11" s="20"/>
      <x:c r="B11" s="10"/>
      <x:c r="C11" s="10"/>
      <x:c r="D11" s="10"/>
      <x:c r="E11" s="10"/>
      <x:c r="F11" s="10"/>
      <x:c r="G11" s="10"/>
      <x:c r="H11" s="10"/>
    </x:row>
    <x:row r="12" ht="15" hidden="0" customHeight="1">
      <x:c r="A12" s="8" t="str">
        <x:v>Custos e estrutura</x:v>
      </x:c>
      <x:c r="B12" s="8" t="str">
        <x:v>Custos e estrutura</x:v>
      </x:c>
      <x:c r="C12" s="10"/>
      <x:c r="D12" s="10"/>
      <x:c r="E12" s="10"/>
      <x:c r="F12" s="10"/>
      <x:c r="G12" s="10"/>
      <x:c r="H12" s="10"/>
    </x:row>
    <x:row r="13" ht="15" hidden="0" customHeight="1">
      <x:c r="A13" s="30" t="str">
        <x:v>Onboarding (multiplicador)</x:v>
      </x:c>
      <x:c r="B13" s="56" t="n">
        <x:v>1.2</x:v>
      </x:c>
      <x:c r="C13" s="10"/>
      <x:c r="D13" s="57" t="str">
        <x:v>Rateio de estrutura</x:v>
      </x:c>
      <x:c r="E13" s="58" t="n">
        <x:v>700</x:v>
      </x:c>
      <x:c r="F13" s="10"/>
      <x:c r="G13" s="10"/>
      <x:c r="H13" s="10"/>
    </x:row>
    <x:row r="14" ht="15" hidden="0" customHeight="1">
      <x:c r="A14" s="32" t="str">
        <x:v>Mao de obra direta alocada</x:v>
      </x:c>
      <x:c r="B14" s="54" t="n">
        <x:v>950</x:v>
      </x:c>
      <x:c r="C14" s="10"/>
      <x:c r="D14" s="10"/>
      <x:c r="E14" s="10"/>
      <x:c r="F14" s="10"/>
      <x:c r="G14" s="10"/>
      <x:c r="H14" s="10"/>
    </x:row>
    <x:row r="15" ht="15" hidden="0" customHeight="1">
      <x:c r="A15" s="32" t="str">
        <x:v>Ferramentas e licencas</x:v>
      </x:c>
      <x:c r="B15" s="54" t="n">
        <x:v>320</x:v>
      </x:c>
      <x:c r="C15" s="10"/>
      <x:c r="D15" s="10"/>
      <x:c r="E15" s="10"/>
      <x:c r="F15" s="10"/>
      <x:c r="G15" s="10"/>
      <x:c r="H15" s="10"/>
    </x:row>
    <x:row r="16" ht="15" hidden="0" customHeight="1">
      <x:c r="A16" s="32" t="str">
        <x:v>Deslocamento e logistica</x:v>
      </x:c>
      <x:c r="B16" s="54" t="n">
        <x:v>180</x:v>
      </x:c>
      <x:c r="C16" s="10"/>
      <x:c r="D16" s="10"/>
      <x:c r="E16" s="10"/>
      <x:c r="F16" s="10"/>
      <x:c r="G16" s="10"/>
      <x:c r="H16" s="10"/>
    </x:row>
    <x:row r="17" ht="15" hidden="0" customHeight="1">
      <x:c r="A17" s="35" t="str">
        <x:v>Reserva de risco/retrabalho</x:v>
      </x:c>
      <x:c r="B17" s="55" t="n">
        <x:v>250</x:v>
      </x:c>
      <x:c r="C17" s="10"/>
      <x:c r="D17" s="10"/>
      <x:c r="E17" s="10"/>
      <x:c r="F17" s="10"/>
      <x:c r="G17" s="10"/>
      <x:c r="H17" s="10"/>
    </x:row>
    <x:row r="18" ht="15" hidden="0" customHeight="1">
      <x:c r="A18" s="20"/>
      <x:c r="B18" s="10"/>
      <x:c r="C18" s="10"/>
      <x:c r="D18" s="10"/>
      <x:c r="E18" s="10"/>
      <x:c r="F18" s="10"/>
      <x:c r="G18" s="10"/>
      <x:c r="H18" s="10"/>
    </x:row>
    <x:row r="19" ht="15" hidden="0" customHeight="1">
      <x:c r="A19" s="8" t="str">
        <x:v>Resultados automaticos</x:v>
      </x:c>
      <x:c r="B19" s="8" t="str">
        <x:v>Resultados automaticos</x:v>
      </x:c>
      <x:c r="C19" s="10"/>
      <x:c r="D19" s="10"/>
      <x:c r="E19" s="10"/>
      <x:c r="F19" s="10"/>
      <x:c r="G19" s="10"/>
      <x:c r="H19" s="10"/>
    </x:row>
    <x:row r="20" ht="15" hidden="0" customHeight="1">
      <x:c r="A20" s="30" t="str">
        <x:v>Receita mensal total</x:v>
      </x:c>
      <x:c r="B20" s="31" t="n">
        <x:f>SUM(B6,B7*B8,B9*B10)</x:f>
        <x:v>4830</x:v>
      </x:c>
      <x:c r="C20" s="10"/>
      <x:c r="D20" s="37" t="str">
        <x:v>Fee de onboarding sugerido</x:v>
      </x:c>
      <x:c r="E20" s="31" t="n">
        <x:f>B20*B13</x:f>
        <x:v>5796</x:v>
      </x:c>
      <x:c r="F20" s="10"/>
      <x:c r="G20" s="10"/>
      <x:c r="H20" s="10"/>
    </x:row>
    <x:row r="21" ht="15" hidden="0" customHeight="1">
      <x:c r="A21" s="32" t="str">
        <x:v>Custo direto total</x:v>
      </x:c>
      <x:c r="B21" s="33" t="n">
        <x:f>SUM(B14:B17)</x:f>
        <x:v>1700</x:v>
      </x:c>
      <x:c r="C21" s="10"/>
      <x:c r="D21" s="39" t="str">
        <x:v>Receita anual recorrente</x:v>
      </x:c>
      <x:c r="E21" s="33" t="n">
        <x:f>B20*12</x:f>
        <x:v>57960</x:v>
      </x:c>
      <x:c r="F21" s="10"/>
      <x:c r="G21" s="10"/>
      <x:c r="H21" s="10"/>
    </x:row>
    <x:row r="22" ht="15" hidden="0" customHeight="1">
      <x:c r="A22" s="32" t="str">
        <x:v>Lucro bruto</x:v>
      </x:c>
      <x:c r="B22" s="33" t="n">
        <x:f>B20-B21</x:f>
        <x:v>3130</x:v>
      </x:c>
      <x:c r="C22" s="10"/>
      <x:c r="D22" s="39" t="str">
        <x:v>Lucro bruto anual</x:v>
      </x:c>
      <x:c r="E22" s="33" t="n">
        <x:f>B22*12</x:f>
        <x:v>37560</x:v>
      </x:c>
      <x:c r="F22" s="10"/>
      <x:c r="G22" s="10"/>
      <x:c r="H22" s="10"/>
    </x:row>
    <x:row r="23" ht="15" hidden="0" customHeight="1">
      <x:c r="A23" s="32" t="str">
        <x:v>Margem bruta</x:v>
      </x:c>
      <x:c r="B23" s="34" t="n">
        <x:f>IFERROR(B22/B20,0)</x:f>
        <x:v>0.6480331262939959</x:v>
      </x:c>
      <x:c r="C23" s="10"/>
      <x:c r="D23" s="39" t="str">
        <x:v>Lucro operacional anual</x:v>
      </x:c>
      <x:c r="E23" s="33" t="n">
        <x:f>B24*12</x:f>
        <x:v>29160</x:v>
      </x:c>
      <x:c r="F23" s="10"/>
      <x:c r="G23" s="10"/>
      <x:c r="H23" s="10"/>
    </x:row>
    <x:row r="24" ht="15" hidden="0" customHeight="1">
      <x:c r="A24" s="32" t="str">
        <x:v>Lucro operacional</x:v>
      </x:c>
      <x:c r="B24" s="33" t="n">
        <x:f>B22-E13</x:f>
        <x:v>2430</x:v>
      </x:c>
      <x:c r="C24" s="10"/>
      <x:c r="D24" s="41" t="str">
        <x:v>Ticket anual com onboarding</x:v>
      </x:c>
      <x:c r="E24" s="36" t="n">
        <x:f>(B20*12)+E20</x:f>
        <x:v>63756</x:v>
      </x:c>
      <x:c r="F24" s="10"/>
      <x:c r="G24" s="10"/>
      <x:c r="H24" s="10"/>
    </x:row>
    <x:row r="25" ht="15" hidden="0" customHeight="1">
      <x:c r="A25" s="35" t="str">
        <x:v>Margem operacional</x:v>
      </x:c>
      <x:c r="B25" s="59" t="n">
        <x:f>IFERROR(B24/B20,0)</x:f>
        <x:v>0.5031055900621118</x:v>
      </x:c>
      <x:c r="C25" s="10"/>
      <x:c r="D25" s="10"/>
      <x:c r="E25" s="10"/>
      <x:c r="F25" s="10"/>
      <x:c r="G25" s="10"/>
      <x:c r="H25" s="10"/>
    </x:row>
    <x:row r="26" ht="15" hidden="0" customHeight="1">
      <x:c r="A26" s="10"/>
      <x:c r="B26" s="10"/>
      <x:c r="C26" s="10"/>
      <x:c r="D26" s="10"/>
      <x:c r="E26" s="10"/>
      <x:c r="F26" s="10"/>
      <x:c r="G26" s="10"/>
      <x:c r="H26" s="10"/>
    </x:row>
    <x:row r="27" ht="15" hidden="0" customHeight="1">
      <x:c r="A27" s="10"/>
      <x:c r="B27" s="10"/>
      <x:c r="C27" s="10"/>
      <x:c r="D27" s="10"/>
      <x:c r="E27" s="10"/>
      <x:c r="F27" s="10"/>
      <x:c r="G27" s="10"/>
      <x:c r="H27" s="10"/>
    </x:row>
    <x:row r="28" ht="15" hidden="0" customHeight="1">
      <x:c r="A28" s="10"/>
      <x:c r="B28" s="10"/>
      <x:c r="C28" s="10"/>
      <x:c r="D28" s="10"/>
      <x:c r="E28" s="10"/>
      <x:c r="F28" s="10"/>
      <x:c r="G28" s="10"/>
      <x:c r="H28" s="10"/>
    </x:row>
    <x:row r="29" ht="15" hidden="0" customHeight="1">
      <x:c r="A29" s="10"/>
      <x:c r="B29" s="10"/>
      <x:c r="C29" s="10"/>
      <x:c r="D29" s="10"/>
      <x:c r="E29" s="10"/>
      <x:c r="F29" s="10"/>
      <x:c r="G29" s="10"/>
      <x:c r="H29" s="10"/>
    </x:row>
    <x:row r="30" ht="15" hidden="0" customHeight="1">
      <x:c r="A30" s="10"/>
      <x:c r="B30" s="10"/>
      <x:c r="C30" s="10"/>
      <x:c r="D30" s="10"/>
      <x:c r="E30" s="10"/>
      <x:c r="F30" s="10"/>
      <x:c r="G30" s="10"/>
      <x:c r="H30" s="10"/>
    </x:row>
    <x:row r="31">
      <x:c r="A31" s="10"/>
      <x:c r="B31" s="10"/>
      <x:c r="C31" s="10"/>
      <x:c r="D31" s="10"/>
      <x:c r="E31" s="10"/>
      <x:c r="F31" s="10"/>
      <x:c r="G31" s="10"/>
      <x:c r="H31" s="10"/>
    </x:row>
    <x:row r="32">
      <x:c r="A32" s="10"/>
      <x:c r="B32" s="10"/>
      <x:c r="C32" s="10"/>
      <x:c r="D32" s="10"/>
      <x:c r="E32" s="10"/>
      <x:c r="F32" s="10"/>
      <x:c r="G32" s="10"/>
      <x:c r="H32" s="10"/>
    </x:row>
    <x:row r="33">
      <x:c r="A33" s="10"/>
      <x:c r="B33" s="10"/>
      <x:c r="C33" s="10"/>
      <x:c r="D33" s="10"/>
      <x:c r="E33" s="10"/>
      <x:c r="F33" s="10"/>
      <x:c r="G33" s="10"/>
      <x:c r="H33" s="10"/>
    </x:row>
    <x:row r="34">
      <x:c r="A34" s="10"/>
      <x:c r="B34" s="10"/>
      <x:c r="C34" s="10"/>
      <x:c r="D34" s="10"/>
      <x:c r="E34" s="10"/>
      <x:c r="F34" s="10"/>
      <x:c r="G34" s="10"/>
      <x:c r="H34" s="10"/>
    </x:row>
    <x:row r="35">
      <x:c r="A35" s="10"/>
      <x:c r="B35" s="10"/>
      <x:c r="C35" s="10"/>
      <x:c r="D35" s="10"/>
      <x:c r="E35" s="10"/>
      <x:c r="F35" s="10"/>
      <x:c r="G35" s="10"/>
      <x:c r="H35" s="10"/>
    </x:row>
    <x:row r="36">
      <x:c r="A36" s="10"/>
      <x:c r="B36" s="10"/>
      <x:c r="C36" s="10"/>
      <x:c r="D36" s="10"/>
      <x:c r="E36" s="10"/>
      <x:c r="F36" s="10"/>
      <x:c r="G36" s="10"/>
      <x:c r="H36" s="10"/>
    </x:row>
    <x:row r="37">
      <x:c r="A37" s="10"/>
      <x:c r="B37" s="10"/>
      <x:c r="C37" s="10"/>
      <x:c r="D37" s="10"/>
      <x:c r="E37" s="10"/>
      <x:c r="F37" s="10"/>
      <x:c r="G37" s="10"/>
      <x:c r="H37" s="10"/>
    </x:row>
    <x:row r="38">
      <x:c r="A38" s="10"/>
      <x:c r="B38" s="10"/>
      <x:c r="C38" s="10"/>
      <x:c r="D38" s="10"/>
      <x:c r="E38" s="10"/>
      <x:c r="F38" s="10"/>
      <x:c r="G38" s="10"/>
      <x:c r="H38" s="10"/>
    </x:row>
    <x:row r="39">
      <x:c r="A39" s="10"/>
      <x:c r="B39" s="10"/>
      <x:c r="C39" s="10"/>
      <x:c r="D39" s="10"/>
      <x:c r="E39" s="10"/>
      <x:c r="F39" s="10"/>
      <x:c r="G39" s="10"/>
      <x:c r="H39" s="10"/>
    </x:row>
    <x:row r="40">
      <x:c r="A40" s="10"/>
      <x:c r="B40" s="10"/>
      <x:c r="C40" s="10"/>
      <x:c r="D40" s="10"/>
      <x:c r="E40" s="10"/>
      <x:c r="F40" s="10"/>
      <x:c r="G40" s="10"/>
      <x:c r="H40" s="10"/>
    </x:row>
  </x:sheetData>
  <x:mergeCells>
    <x:mergeCell ref="A1:F1"/>
    <x:mergeCell ref="A3:B3"/>
    <x:mergeCell ref="A12:B12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1.380001068115234" hidden="0" customWidth="1"/>
    <x:col min="2" max="2" width="41.380001068115234" hidden="0" customWidth="1"/>
    <x:col min="3" max="3" width="41.380001068115234" hidden="0" customWidth="1"/>
    <x:col min="4" max="4" width="41.380001068115234" hidden="0" customWidth="1"/>
    <x:col min="5" max="5" width="41.380001068115234" hidden="0" customWidth="1"/>
    <x:col min="6" max="6" width="41.380001068115234" hidden="0" customWidth="1"/>
  </x:cols>
  <x:sheetData>
    <x:row r="1" ht="15" hidden="0" customHeight="1">
      <x:c r="A1" s="9" t="str">
        <x:v>MODELO FINANCEIRO - CONTRATO DE MANUTENCAO</x:v>
      </x:c>
      <x:c r="B1" s="9" t="str">
        <x:v>MODELO FINANCEIRO - CONTRATO DE MANUTENCAO</x:v>
      </x:c>
      <x:c r="C1" s="9" t="str">
        <x:v>MODELO FINANCEIRO - CONTRATO DE MANUTENCAO</x:v>
      </x:c>
      <x:c r="D1" s="9" t="str">
        <x:v>MODELO FINANCEIRO - CONTRATO DE MANUTENCAO</x:v>
      </x:c>
      <x:c r="E1" s="9" t="str">
        <x:v>MODELO FINANCEIRO - CONTRATO DE MANUTENCAO</x:v>
      </x:c>
      <x:c r="F1" s="9" t="str">
        <x:v>MODELO FINANCEIRO - CONTRATO DE MANUTENCAO</x:v>
      </x:c>
      <x:c r="G1" s="10"/>
      <x:c r="H1" s="10"/>
    </x:row>
    <x:row r="2" ht="15" hidden="0" customHeight="1">
      <x:c r="A2" s="10"/>
      <x:c r="B2" s="10"/>
      <x:c r="C2" s="10"/>
      <x:c r="D2" s="10"/>
      <x:c r="E2" s="10"/>
      <x:c r="F2" s="10"/>
      <x:c r="G2" s="10"/>
      <x:c r="H2" s="10"/>
    </x:row>
    <x:row r="3" ht="15" hidden="0" customHeight="1">
      <x:c r="A3" s="8" t="str">
        <x:v>Simulador de margem alvo</x:v>
      </x:c>
      <x:c r="B3" s="8" t="str">
        <x:v>Simulador de margem alvo</x:v>
      </x:c>
      <x:c r="C3" s="8" t="str">
        <x:v>Simulador de margem alvo</x:v>
      </x:c>
      <x:c r="D3" s="8" t="str">
        <x:v>Simulador de margem alvo</x:v>
      </x:c>
      <x:c r="E3" s="8" t="str">
        <x:v>Simulador de margem alvo</x:v>
      </x:c>
      <x:c r="F3" s="10"/>
      <x:c r="G3" s="10"/>
      <x:c r="H3" s="10"/>
    </x:row>
    <x:row r="4" ht="15" hidden="0" customHeight="1">
      <x:c r="A4" s="30" t="str">
        <x:v>Indicador</x:v>
      </x:c>
      <x:c r="B4" s="60" t="n">
        <x:v>0.45</x:v>
      </x:c>
      <x:c r="C4" s="60" t="n">
        <x:v>0.5</x:v>
      </x:c>
      <x:c r="D4" s="60" t="n">
        <x:v>0.55</x:v>
      </x:c>
      <x:c r="E4" s="61" t="n">
        <x:v>0.6</x:v>
      </x:c>
      <x:c r="F4" s="10"/>
      <x:c r="G4" s="10"/>
      <x:c r="H4" s="10"/>
    </x:row>
    <x:row r="5" ht="15" hidden="0" customHeight="1">
      <x:c r="A5" s="32" t="str">
        <x:v>Custo direto base</x:v>
      </x:c>
      <x:c r="B5" s="13" t="n">
        <x:f>'Cliente_Modelo'!B21</x:f>
        <x:v>1700</x:v>
      </x:c>
      <x:c r="C5" s="13" t="n">
        <x:f>'Cliente_Modelo'!B21</x:f>
        <x:v>1700</x:v>
      </x:c>
      <x:c r="D5" s="13" t="n">
        <x:f>'Cliente_Modelo'!B21</x:f>
        <x:v>1700</x:v>
      </x:c>
      <x:c r="E5" s="33" t="n">
        <x:f>'Cliente_Modelo'!B21</x:f>
        <x:v>1700</x:v>
      </x:c>
      <x:c r="F5" s="10"/>
      <x:c r="G5" s="10"/>
      <x:c r="H5" s="10"/>
    </x:row>
    <x:row r="6" ht="15" hidden="0" customHeight="1">
      <x:c r="A6" s="32" t="str">
        <x:v>Preco minimo mensal</x:v>
      </x:c>
      <x:c r="B6" s="13" t="n">
        <x:f>IFERROR(B5/(1-B4),0)</x:f>
        <x:v>3090.9090909090905</x:v>
      </x:c>
      <x:c r="C6" s="13" t="n">
        <x:f>IFERROR(C5/(1-C4),0)</x:f>
        <x:v>3400</x:v>
      </x:c>
      <x:c r="D6" s="13" t="n">
        <x:f>IFERROR(D5/(1-D4),0)</x:f>
        <x:v>3777.7777777777783</x:v>
      </x:c>
      <x:c r="E6" s="33" t="n">
        <x:f>IFERROR(E5/(1-E4),0)</x:f>
        <x:v>4250</x:v>
      </x:c>
      <x:c r="F6" s="10"/>
      <x:c r="G6" s="10"/>
      <x:c r="H6" s="10"/>
    </x:row>
    <x:row r="7" ht="15" hidden="0" customHeight="1">
      <x:c r="A7" s="32" t="str">
        <x:v>Lucro bruto esperado</x:v>
      </x:c>
      <x:c r="B7" s="13" t="n">
        <x:f>B6-B5</x:f>
        <x:v>1390.9090909090905</x:v>
      </x:c>
      <x:c r="C7" s="13" t="n">
        <x:f>C6-C5</x:f>
        <x:v>1700</x:v>
      </x:c>
      <x:c r="D7" s="13" t="n">
        <x:f>D6-D5</x:f>
        <x:v>2077.7777777777783</x:v>
      </x:c>
      <x:c r="E7" s="33" t="n">
        <x:f>E6-E5</x:f>
        <x:v>2550</x:v>
      </x:c>
      <x:c r="F7" s="10"/>
      <x:c r="G7" s="10"/>
      <x:c r="H7" s="10"/>
    </x:row>
    <x:row r="8" ht="15" hidden="0" customHeight="1">
      <x:c r="A8" s="32" t="str">
        <x:v>Margem bruta</x:v>
      </x:c>
      <x:c r="B8" s="14" t="n">
        <x:f>IFERROR(B7/B6,0)</x:f>
        <x:v>0.44999999999999996</x:v>
      </x:c>
      <x:c r="C8" s="14" t="n">
        <x:f>IFERROR(C7/C6,0)</x:f>
        <x:v>0.5</x:v>
      </x:c>
      <x:c r="D8" s="14" t="n">
        <x:f>IFERROR(D7/D6,0)</x:f>
        <x:v>0.55</x:v>
      </x:c>
      <x:c r="E8" s="34" t="n">
        <x:f>IFERROR(E7/E6,0)</x:f>
        <x:v>0.6</x:v>
      </x:c>
      <x:c r="F8" s="10"/>
      <x:c r="G8" s="10"/>
      <x:c r="H8" s="10"/>
    </x:row>
    <x:row r="9" ht="15" hidden="0" customHeight="1">
      <x:c r="A9" s="35" t="str">
        <x:v>Preco com folga comercial (5%)</x:v>
      </x:c>
      <x:c r="B9" s="62" t="n">
        <x:f>B6*1.05</x:f>
        <x:v>3245.454545454545</x:v>
      </x:c>
      <x:c r="C9" s="62" t="n">
        <x:f>C6*1.05</x:f>
        <x:v>3570</x:v>
      </x:c>
      <x:c r="D9" s="62" t="n">
        <x:f>D6*1.05</x:f>
        <x:v>3966.6666666666674</x:v>
      </x:c>
      <x:c r="E9" s="36" t="n">
        <x:f>E6*1.05</x:f>
        <x:v>4462.5</x:v>
      </x:c>
      <x:c r="F9" s="10"/>
      <x:c r="G9" s="10"/>
      <x:c r="H9" s="10"/>
    </x:row>
    <x:row r="10" ht="15" hidden="0" customHeight="1">
      <x:c r="A10" s="20"/>
      <x:c r="B10" s="10"/>
      <x:c r="C10" s="10"/>
      <x:c r="D10" s="10"/>
      <x:c r="E10" s="10"/>
      <x:c r="F10" s="10"/>
      <x:c r="G10" s="10"/>
      <x:c r="H10" s="10"/>
    </x:row>
    <x:row r="11" ht="15" hidden="0" customHeight="1">
      <x:c r="A11" s="20"/>
      <x:c r="B11" s="10"/>
      <x:c r="C11" s="10"/>
      <x:c r="D11" s="10"/>
      <x:c r="E11" s="10"/>
      <x:c r="F11" s="10"/>
      <x:c r="G11" s="10"/>
      <x:c r="H11" s="10"/>
    </x:row>
    <x:row r="12" ht="15" hidden="0" customHeight="1">
      <x:c r="A12" s="43" t="str">
        <x:v>Recomendacao de uso</x:v>
      </x:c>
      <x:c r="B12" s="45" t="str">
        <x:v>Acao</x:v>
      </x:c>
      <x:c r="C12" s="10"/>
      <x:c r="D12" s="10"/>
      <x:c r="E12" s="10"/>
      <x:c r="F12" s="10"/>
      <x:c r="G12" s="10"/>
      <x:c r="H12" s="10"/>
    </x:row>
    <x:row r="13" ht="15" hidden="0" customHeight="1">
      <x:c r="A13" s="46" t="str">
        <x:v>Abaixo de 45% de margem</x:v>
      </x:c>
      <x:c r="B13" s="63" t="str">
        <x:v>Revisar preco, escopo ou elegibilidade do cliente</x:v>
      </x:c>
      <x:c r="C13" s="10"/>
      <x:c r="D13" s="10"/>
      <x:c r="E13" s="10"/>
      <x:c r="F13" s="10"/>
      <x:c r="G13" s="10"/>
      <x:c r="H13" s="10"/>
    </x:row>
    <x:row r="14" ht="15" hidden="0" customHeight="1">
      <x:c r="A14" s="46" t="str">
        <x:v>Entre 45% e 50%</x:v>
      </x:c>
      <x:c r="B14" s="63" t="str">
        <x:v>Operacao possivel, mas com baixa folga</x:v>
      </x:c>
      <x:c r="C14" s="10"/>
      <x:c r="D14" s="10"/>
      <x:c r="E14" s="10"/>
      <x:c r="F14" s="10"/>
      <x:c r="G14" s="10"/>
      <x:c r="H14" s="10"/>
    </x:row>
    <x:row r="15" ht="15" hidden="0" customHeight="1">
      <x:c r="A15" s="46" t="str">
        <x:v>Entre 50% e 55%</x:v>
      </x:c>
      <x:c r="B15" s="63" t="str">
        <x:v>Faixa saudavel para contrato recorrente</x:v>
      </x:c>
      <x:c r="C15" s="10"/>
      <x:c r="D15" s="10"/>
      <x:c r="E15" s="10"/>
      <x:c r="F15" s="10"/>
      <x:c r="G15" s="10"/>
      <x:c r="H15" s="10"/>
    </x:row>
    <x:row r="16" ht="15" hidden="0" customHeight="1">
      <x:c r="A16" s="46" t="str">
        <x:v>Acima de 55%</x:v>
      </x:c>
      <x:c r="B16" s="63" t="str">
        <x:v>Alta folga para crescimento e qualidade</x:v>
      </x:c>
      <x:c r="C16" s="10"/>
      <x:c r="D16" s="10"/>
      <x:c r="E16" s="10"/>
      <x:c r="F16" s="10"/>
      <x:c r="G16" s="10"/>
      <x:c r="H16" s="10"/>
    </x:row>
    <x:row r="17" ht="15" hidden="0" customHeight="1">
      <x:c r="A17" s="49" t="str">
        <x:v>Projetos avulsos</x:v>
      </x:c>
      <x:c r="B17" s="64" t="str">
        <x:v>Nao misturar com a mensalidade recorrente</x:v>
      </x:c>
      <x:c r="C17" s="10"/>
      <x:c r="D17" s="10"/>
      <x:c r="E17" s="10"/>
      <x:c r="F17" s="10"/>
      <x:c r="G17" s="10"/>
      <x:c r="H17" s="10"/>
    </x:row>
    <x:row r="18" ht="15" hidden="0" customHeight="1">
      <x:c r="A18" s="10"/>
      <x:c r="B18" s="10"/>
      <x:c r="C18" s="10"/>
      <x:c r="D18" s="10"/>
      <x:c r="E18" s="10"/>
      <x:c r="F18" s="10"/>
      <x:c r="G18" s="10"/>
      <x:c r="H18" s="10"/>
    </x:row>
    <x:row r="19" ht="15" hidden="0" customHeight="1">
      <x:c r="A19" s="10"/>
      <x:c r="B19" s="10"/>
      <x:c r="C19" s="10"/>
      <x:c r="D19" s="10"/>
      <x:c r="E19" s="10"/>
      <x:c r="F19" s="10"/>
      <x:c r="G19" s="10"/>
      <x:c r="H19" s="10"/>
    </x:row>
    <x:row r="20" ht="15" hidden="0" customHeight="1">
      <x:c r="A20" s="10"/>
      <x:c r="B20" s="10"/>
      <x:c r="C20" s="10"/>
      <x:c r="D20" s="10"/>
      <x:c r="E20" s="10"/>
      <x:c r="F20" s="10"/>
      <x:c r="G20" s="10"/>
      <x:c r="H20" s="10"/>
    </x:row>
    <x:row r="21">
      <x:c r="A21" s="10"/>
      <x:c r="B21" s="10"/>
      <x:c r="C21" s="10"/>
      <x:c r="D21" s="10"/>
      <x:c r="E21" s="10"/>
      <x:c r="F21" s="10"/>
      <x:c r="G21" s="10"/>
      <x:c r="H21" s="10"/>
    </x:row>
    <x:row r="22">
      <x:c r="A22" s="10"/>
      <x:c r="B22" s="10"/>
      <x:c r="C22" s="10"/>
      <x:c r="D22" s="10"/>
      <x:c r="E22" s="10"/>
      <x:c r="F22" s="10"/>
      <x:c r="G22" s="10"/>
      <x:c r="H22" s="10"/>
    </x:row>
    <x:row r="23">
      <x:c r="A23" s="10"/>
      <x:c r="B23" s="10"/>
      <x:c r="C23" s="10"/>
      <x:c r="D23" s="10"/>
      <x:c r="E23" s="10"/>
      <x:c r="F23" s="10"/>
      <x:c r="G23" s="10"/>
      <x:c r="H23" s="10"/>
    </x:row>
    <x:row r="24">
      <x:c r="A24" s="10"/>
      <x:c r="B24" s="10"/>
      <x:c r="C24" s="10"/>
      <x:c r="D24" s="10"/>
      <x:c r="E24" s="10"/>
      <x:c r="F24" s="10"/>
      <x:c r="G24" s="10"/>
      <x:c r="H24" s="10"/>
    </x:row>
    <x:row r="25">
      <x:c r="A25" s="10"/>
      <x:c r="B25" s="10"/>
      <x:c r="C25" s="10"/>
      <x:c r="D25" s="10"/>
      <x:c r="E25" s="10"/>
      <x:c r="F25" s="10"/>
      <x:c r="G25" s="10"/>
      <x:c r="H25" s="10"/>
    </x:row>
    <x:row r="26">
      <x:c r="A26" s="10"/>
      <x:c r="B26" s="10"/>
      <x:c r="C26" s="10"/>
      <x:c r="D26" s="10"/>
      <x:c r="E26" s="10"/>
      <x:c r="F26" s="10"/>
      <x:c r="G26" s="10"/>
      <x:c r="H26" s="10"/>
    </x:row>
    <x:row r="27">
      <x:c r="A27" s="10"/>
      <x:c r="B27" s="10"/>
      <x:c r="C27" s="10"/>
      <x:c r="D27" s="10"/>
      <x:c r="E27" s="10"/>
      <x:c r="F27" s="10"/>
      <x:c r="G27" s="10"/>
      <x:c r="H27" s="10"/>
    </x:row>
    <x:row r="28">
      <x:c r="A28" s="10"/>
      <x:c r="B28" s="10"/>
      <x:c r="C28" s="10"/>
      <x:c r="D28" s="10"/>
      <x:c r="E28" s="10"/>
      <x:c r="F28" s="10"/>
      <x:c r="G28" s="10"/>
      <x:c r="H28" s="10"/>
    </x:row>
    <x:row r="29">
      <x:c r="A29" s="10"/>
      <x:c r="B29" s="10"/>
      <x:c r="C29" s="10"/>
      <x:c r="D29" s="10"/>
      <x:c r="E29" s="10"/>
      <x:c r="F29" s="10"/>
      <x:c r="G29" s="10"/>
      <x:c r="H29" s="10"/>
    </x:row>
    <x:row r="30">
      <x:c r="A30" s="10"/>
      <x:c r="B30" s="10"/>
      <x:c r="C30" s="10"/>
      <x:c r="D30" s="10"/>
      <x:c r="E30" s="10"/>
      <x:c r="F30" s="10"/>
      <x:c r="G30" s="10"/>
      <x:c r="H30" s="10"/>
    </x:row>
    <x:row r="31">
      <x:c r="A31" s="10"/>
      <x:c r="B31" s="10"/>
      <x:c r="C31" s="10"/>
      <x:c r="D31" s="10"/>
      <x:c r="E31" s="10"/>
      <x:c r="F31" s="10"/>
      <x:c r="G31" s="10"/>
      <x:c r="H31" s="10"/>
    </x:row>
    <x:row r="32">
      <x:c r="A32" s="10"/>
      <x:c r="B32" s="10"/>
      <x:c r="C32" s="10"/>
      <x:c r="D32" s="10"/>
      <x:c r="E32" s="10"/>
      <x:c r="F32" s="10"/>
      <x:c r="G32" s="10"/>
      <x:c r="H32" s="10"/>
    </x:row>
    <x:row r="33">
      <x:c r="A33" s="10"/>
      <x:c r="B33" s="10"/>
      <x:c r="C33" s="10"/>
      <x:c r="D33" s="10"/>
      <x:c r="E33" s="10"/>
      <x:c r="F33" s="10"/>
      <x:c r="G33" s="10"/>
      <x:c r="H33" s="10"/>
    </x:row>
    <x:row r="34">
      <x:c r="A34" s="10"/>
      <x:c r="B34" s="10"/>
      <x:c r="C34" s="10"/>
      <x:c r="D34" s="10"/>
      <x:c r="E34" s="10"/>
      <x:c r="F34" s="10"/>
      <x:c r="G34" s="10"/>
      <x:c r="H34" s="10"/>
    </x:row>
    <x:row r="35">
      <x:c r="A35" s="10"/>
      <x:c r="B35" s="10"/>
      <x:c r="C35" s="10"/>
      <x:c r="D35" s="10"/>
      <x:c r="E35" s="10"/>
      <x:c r="F35" s="10"/>
      <x:c r="G35" s="10"/>
      <x:c r="H35" s="10"/>
    </x:row>
    <x:row r="36">
      <x:c r="A36" s="10"/>
      <x:c r="B36" s="10"/>
      <x:c r="C36" s="10"/>
      <x:c r="D36" s="10"/>
      <x:c r="E36" s="10"/>
      <x:c r="F36" s="10"/>
      <x:c r="G36" s="10"/>
      <x:c r="H36" s="10"/>
    </x:row>
    <x:row r="37">
      <x:c r="A37" s="10"/>
      <x:c r="B37" s="10"/>
      <x:c r="C37" s="10"/>
      <x:c r="D37" s="10"/>
      <x:c r="E37" s="10"/>
      <x:c r="F37" s="10"/>
      <x:c r="G37" s="10"/>
      <x:c r="H37" s="10"/>
    </x:row>
    <x:row r="38">
      <x:c r="A38" s="10"/>
      <x:c r="B38" s="10"/>
      <x:c r="C38" s="10"/>
      <x:c r="D38" s="10"/>
      <x:c r="E38" s="10"/>
      <x:c r="F38" s="10"/>
      <x:c r="G38" s="10"/>
      <x:c r="H38" s="10"/>
    </x:row>
    <x:row r="39">
      <x:c r="A39" s="10"/>
      <x:c r="B39" s="10"/>
      <x:c r="C39" s="10"/>
      <x:c r="D39" s="10"/>
      <x:c r="E39" s="10"/>
      <x:c r="F39" s="10"/>
      <x:c r="G39" s="10"/>
      <x:c r="H39" s="10"/>
    </x:row>
    <x:row r="40">
      <x:c r="A40" s="10"/>
      <x:c r="B40" s="10"/>
      <x:c r="C40" s="10"/>
      <x:c r="D40" s="10"/>
      <x:c r="E40" s="10"/>
      <x:c r="F40" s="10"/>
      <x:c r="G40" s="10"/>
      <x:c r="H40" s="10"/>
    </x:row>
  </x:sheetData>
  <x:mergeCells>
    <x:mergeCell ref="A1:F1"/>
    <x:mergeCell ref="A3:E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1.380001068115234" hidden="0" customWidth="1"/>
    <x:col min="2" max="2" width="41.380001068115234" hidden="0" customWidth="1"/>
    <x:col min="3" max="3" width="41.380001068115234" hidden="0" customWidth="1"/>
    <x:col min="4" max="4" width="41.380001068115234" hidden="0" customWidth="1"/>
    <x:col min="5" max="5" width="41.380001068115234" hidden="0" customWidth="1"/>
    <x:col min="6" max="6" width="41.380001068115234" hidden="0" customWidth="1"/>
    <x:col min="7" max="7" width="21.25" hidden="0" customWidth="1"/>
  </x:cols>
  <x:sheetData>
    <x:row r="1" ht="15" hidden="0" customHeight="1">
      <x:c r="A1" s="9" t="str">
        <x:v>MODELO FINANCEIRO - CONTRATO DE MANUTENCAO</x:v>
      </x:c>
      <x:c r="B1" s="9" t="str">
        <x:v>MODELO FINANCEIRO - CONTRATO DE MANUTENCAO</x:v>
      </x:c>
      <x:c r="C1" s="9" t="str">
        <x:v>MODELO FINANCEIRO - CONTRATO DE MANUTENCAO</x:v>
      </x:c>
      <x:c r="D1" s="9" t="str">
        <x:v>MODELO FINANCEIRO - CONTRATO DE MANUTENCAO</x:v>
      </x:c>
      <x:c r="E1" s="9" t="str">
        <x:v>MODELO FINANCEIRO - CONTRATO DE MANUTENCAO</x:v>
      </x:c>
      <x:c r="F1" s="9" t="str">
        <x:v>MODELO FINANCEIRO - CONTRATO DE MANUTENCAO</x:v>
      </x:c>
      <x:c r="G1" s="10"/>
      <x:c r="H1" s="10"/>
    </x:row>
    <x:row r="2" ht="15" hidden="0" customHeight="1">
      <x:c r="A2" s="10"/>
      <x:c r="B2" s="10"/>
      <x:c r="C2" s="10"/>
      <x:c r="D2" s="10"/>
      <x:c r="E2" s="10"/>
      <x:c r="F2" s="10"/>
      <x:c r="G2" s="10"/>
      <x:c r="H2" s="10"/>
    </x:row>
    <x:row r="3" ht="15" hidden="0" customHeight="1">
      <x:c r="A3" s="8" t="str">
        <x:v>Premissas da empresa</x:v>
      </x:c>
      <x:c r="B3" s="8" t="str">
        <x:v>Premissas da empresa</x:v>
      </x:c>
      <x:c r="C3" s="10"/>
      <x:c r="D3" s="8" t="str">
        <x:v>Cenarios por ticket medio</x:v>
      </x:c>
      <x:c r="E3" s="8" t="str">
        <x:v>Cenarios por ticket medio</x:v>
      </x:c>
      <x:c r="F3" s="8" t="str">
        <x:v>Cenarios por ticket medio</x:v>
      </x:c>
      <x:c r="G3" s="8" t="str">
        <x:v>Cenarios por ticket medio</x:v>
      </x:c>
      <x:c r="H3" s="10"/>
    </x:row>
    <x:row r="4" ht="15" hidden="0" customHeight="1">
      <x:c r="A4" s="30" t="str">
        <x:v>Custos fixos mensais</x:v>
      </x:c>
      <x:c r="B4" s="65" t="n">
        <x:v>38000</x:v>
      </x:c>
      <x:c r="C4" s="10"/>
      <x:c r="D4" s="68" t="str">
        <x:v>Indicador</x:v>
      </x:c>
      <x:c r="E4" s="44" t="n">
        <x:v>2500</x:v>
      </x:c>
      <x:c r="F4" s="44" t="n">
        <x:v>3000</x:v>
      </x:c>
      <x:c r="G4" s="45" t="n">
        <x:v>4000</x:v>
      </x:c>
      <x:c r="H4" s="10"/>
    </x:row>
    <x:row r="5" ht="15" hidden="0" customHeight="1">
      <x:c r="A5" s="32" t="str">
        <x:v>Margem bruta media</x:v>
      </x:c>
      <x:c r="B5" s="66" t="n">
        <x:v>0.55</x:v>
      </x:c>
      <x:c r="C5" s="10"/>
      <x:c r="D5" s="69" t="str">
        <x:v>Receita recorrente necessaria</x:v>
      </x:c>
      <x:c r="E5" s="25" t="n">
        <x:f>$B$10</x:f>
        <x:v>50909.090909090904</x:v>
      </x:c>
      <x:c r="F5" s="25" t="n">
        <x:f>$B$10</x:f>
        <x:v>50909.090909090904</x:v>
      </x:c>
      <x:c r="G5" s="47" t="n">
        <x:f>$B$10</x:f>
        <x:v>50909.090909090904</x:v>
      </x:c>
      <x:c r="H5" s="10"/>
    </x:row>
    <x:row r="6" ht="15" hidden="0" customHeight="1">
      <x:c r="A6" s="32" t="str">
        <x:v>Receita mensal prevista com projetos/avulsos</x:v>
      </x:c>
      <x:c r="B6" s="54" t="n">
        <x:v>10000</x:v>
      </x:c>
      <x:c r="C6" s="10"/>
      <x:c r="D6" s="69" t="str">
        <x:v>Contratos necessarios</x:v>
      </x:c>
      <x:c r="E6" s="29" t="n">
        <x:f>CEILING(E5/E4,1)</x:f>
        <x:v>21</x:v>
      </x:c>
      <x:c r="F6" s="29" t="n">
        <x:f>CEILING(F5/F4,1)</x:f>
        <x:v>17</x:v>
      </x:c>
      <x:c r="G6" s="70" t="n">
        <x:f>CEILING(G5/G4,1)</x:f>
        <x:v>13</x:v>
      </x:c>
      <x:c r="H6" s="10"/>
    </x:row>
    <x:row r="7" ht="15" hidden="0" customHeight="1">
      <x:c r="A7" s="35" t="str">
        <x:v>Ticket medio mensal por contrato</x:v>
      </x:c>
      <x:c r="B7" s="55" t="n">
        <x:v>3000</x:v>
      </x:c>
      <x:c r="C7" s="10"/>
      <x:c r="D7" s="69" t="str">
        <x:v>Lucro operacional por contrato (cliente modelo)</x:v>
      </x:c>
      <x:c r="E7" s="25" t="n">
        <x:f>'Cliente_Modelo'!B24</x:f>
        <x:v>2430</x:v>
      </x:c>
      <x:c r="F7" s="25" t="n">
        <x:f>'Cliente_Modelo'!B24</x:f>
        <x:v>2430</x:v>
      </x:c>
      <x:c r="G7" s="47" t="n">
        <x:f>'Cliente_Modelo'!B24</x:f>
        <x:v>2430</x:v>
      </x:c>
      <x:c r="H7" s="10"/>
    </x:row>
    <x:row r="8" ht="15" hidden="0" customHeight="1">
      <x:c r="A8" s="20"/>
      <x:c r="B8" s="10"/>
      <x:c r="C8" s="10"/>
      <x:c r="D8" s="71" t="str">
        <x:v>Observacao</x:v>
      </x:c>
      <x:c r="E8" s="72" t="str">
        <x:f>IF(E6&lt;=10,"Meta possivel com carteira enxuta","Exige volume comercial alto")</x:f>
        <x:v>Exige volume comercial alto</x:v>
      </x:c>
      <x:c r="F8" s="72" t="str">
        <x:f>IF(F6&lt;=10,"Meta possivel com carteira enxuta","Exige volume comercial alto")</x:f>
        <x:v>Exige volume comercial alto</x:v>
      </x:c>
      <x:c r="G8" s="73" t="str">
        <x:f>IF(G6&lt;=10,"Meta possivel com carteira enxuta","Exige volume comercial alto")</x:f>
        <x:v>Exige volume comercial alto</x:v>
      </x:c>
      <x:c r="H8" s="10"/>
    </x:row>
    <x:row r="9" ht="15" hidden="0" customHeight="1">
      <x:c r="A9" s="8" t="str">
        <x:v>Ponto de equilibrio</x:v>
      </x:c>
      <x:c r="B9" s="8" t="str">
        <x:v>Ponto de equilibrio</x:v>
      </x:c>
      <x:c r="C9" s="10"/>
      <x:c r="D9" s="10"/>
      <x:c r="E9" s="10"/>
      <x:c r="F9" s="10"/>
      <x:c r="G9" s="10"/>
      <x:c r="H9" s="10"/>
    </x:row>
    <x:row r="10" ht="15" hidden="0" customHeight="1">
      <x:c r="A10" s="30" t="str">
        <x:v>Receita recorrente necessaria</x:v>
      </x:c>
      <x:c r="B10" s="31" t="n">
        <x:f>MAX((B4-B6)/B5,0)</x:f>
        <x:v>50909.090909090904</x:v>
      </x:c>
      <x:c r="C10" s="10"/>
      <x:c r="D10" s="10"/>
      <x:c r="E10" s="10"/>
      <x:c r="F10" s="10"/>
      <x:c r="G10" s="10"/>
      <x:c r="H10" s="10"/>
    </x:row>
    <x:row r="11" ht="15" hidden="0" customHeight="1">
      <x:c r="A11" s="32" t="str">
        <x:v>Contratos medios necessarios</x:v>
      </x:c>
      <x:c r="B11" s="40" t="n">
        <x:f>CEILING(B10/B7,1)</x:f>
        <x:v>17</x:v>
      </x:c>
      <x:c r="C11" s="10"/>
      <x:c r="D11" s="10"/>
      <x:c r="E11" s="10"/>
      <x:c r="F11" s="10"/>
      <x:c r="G11" s="10"/>
      <x:c r="H11" s="10"/>
    </x:row>
    <x:row r="12" ht="15" hidden="0" customHeight="1">
      <x:c r="A12" s="35" t="str">
        <x:v>Leitura de capacidade</x:v>
      </x:c>
      <x:c r="B12" s="67" t="str">
        <x:f>IF(B11&lt;=10,"Operacao enxuta","Reforcar vendas ou aumentar ticket medio")</x:f>
        <x:v>Reforcar vendas ou aumentar ticket medio</x:v>
      </x:c>
      <x:c r="C12" s="10"/>
      <x:c r="D12" s="10"/>
      <x:c r="E12" s="10"/>
      <x:c r="F12" s="10"/>
      <x:c r="G12" s="10"/>
      <x:c r="H12" s="10"/>
    </x:row>
    <x:row r="13" ht="15" hidden="0" customHeight="1">
      <x:c r="A13" s="10"/>
      <x:c r="B13" s="10"/>
      <x:c r="C13" s="10"/>
      <x:c r="D13" s="10"/>
      <x:c r="E13" s="10"/>
      <x:c r="F13" s="10"/>
      <x:c r="G13" s="10"/>
      <x:c r="H13" s="10"/>
    </x:row>
    <x:row r="14" ht="15" hidden="0" customHeight="1">
      <x:c r="A14" s="10"/>
      <x:c r="B14" s="10"/>
      <x:c r="C14" s="10"/>
      <x:c r="D14" s="10"/>
      <x:c r="E14" s="10"/>
      <x:c r="F14" s="10"/>
      <x:c r="G14" s="10"/>
      <x:c r="H14" s="10"/>
    </x:row>
    <x:row r="15" ht="15" hidden="0" customHeight="1">
      <x:c r="A15" s="10"/>
      <x:c r="B15" s="10"/>
      <x:c r="C15" s="10"/>
      <x:c r="D15" s="10"/>
      <x:c r="E15" s="10"/>
      <x:c r="F15" s="10"/>
      <x:c r="G15" s="10"/>
      <x:c r="H15" s="10"/>
    </x:row>
    <x:row r="16" ht="15" hidden="0" customHeight="1">
      <x:c r="A16" s="10"/>
      <x:c r="B16" s="10"/>
      <x:c r="C16" s="10"/>
      <x:c r="D16" s="10"/>
      <x:c r="E16" s="10"/>
      <x:c r="F16" s="10"/>
      <x:c r="G16" s="10"/>
      <x:c r="H16" s="10"/>
    </x:row>
    <x:row r="17" ht="15" hidden="0" customHeight="1">
      <x:c r="A17" s="10"/>
      <x:c r="B17" s="10"/>
      <x:c r="C17" s="10"/>
      <x:c r="D17" s="10"/>
      <x:c r="E17" s="10"/>
      <x:c r="F17" s="10"/>
      <x:c r="G17" s="10"/>
      <x:c r="H17" s="10"/>
    </x:row>
    <x:row r="18" ht="15" hidden="0" customHeight="1">
      <x:c r="A18" s="10"/>
      <x:c r="B18" s="10"/>
      <x:c r="C18" s="10"/>
      <x:c r="D18" s="10"/>
      <x:c r="E18" s="10"/>
      <x:c r="F18" s="10"/>
      <x:c r="G18" s="10"/>
      <x:c r="H18" s="10"/>
    </x:row>
    <x:row r="19" ht="15" hidden="0" customHeight="1">
      <x:c r="A19" s="10"/>
      <x:c r="B19" s="10"/>
      <x:c r="C19" s="10"/>
      <x:c r="D19" s="10"/>
      <x:c r="E19" s="10"/>
      <x:c r="F19" s="10"/>
      <x:c r="G19" s="10"/>
      <x:c r="H19" s="10"/>
    </x:row>
    <x:row r="20" ht="15" hidden="0" customHeight="1">
      <x:c r="A20" s="10"/>
      <x:c r="B20" s="10"/>
      <x:c r="C20" s="10"/>
      <x:c r="D20" s="10"/>
      <x:c r="E20" s="10"/>
      <x:c r="F20" s="10"/>
      <x:c r="G20" s="10"/>
      <x:c r="H20" s="10"/>
    </x:row>
    <x:row r="21">
      <x:c r="A21" s="10"/>
      <x:c r="B21" s="10"/>
      <x:c r="C21" s="10"/>
      <x:c r="D21" s="10"/>
      <x:c r="E21" s="10"/>
      <x:c r="F21" s="10"/>
      <x:c r="G21" s="10"/>
      <x:c r="H21" s="10"/>
    </x:row>
    <x:row r="22">
      <x:c r="A22" s="10"/>
      <x:c r="B22" s="10"/>
      <x:c r="C22" s="10"/>
      <x:c r="D22" s="10"/>
      <x:c r="E22" s="10"/>
      <x:c r="F22" s="10"/>
      <x:c r="G22" s="10"/>
      <x:c r="H22" s="10"/>
    </x:row>
    <x:row r="23">
      <x:c r="A23" s="10"/>
      <x:c r="B23" s="10"/>
      <x:c r="C23" s="10"/>
      <x:c r="D23" s="10"/>
      <x:c r="E23" s="10"/>
      <x:c r="F23" s="10"/>
      <x:c r="G23" s="10"/>
      <x:c r="H23" s="10"/>
    </x:row>
    <x:row r="24">
      <x:c r="A24" s="10"/>
      <x:c r="B24" s="10"/>
      <x:c r="C24" s="10"/>
      <x:c r="D24" s="10"/>
      <x:c r="E24" s="10"/>
      <x:c r="F24" s="10"/>
      <x:c r="G24" s="10"/>
      <x:c r="H24" s="10"/>
    </x:row>
    <x:row r="25">
      <x:c r="A25" s="10"/>
      <x:c r="B25" s="10"/>
      <x:c r="C25" s="10"/>
      <x:c r="D25" s="10"/>
      <x:c r="E25" s="10"/>
      <x:c r="F25" s="10"/>
      <x:c r="G25" s="10"/>
      <x:c r="H25" s="10"/>
    </x:row>
    <x:row r="26">
      <x:c r="A26" s="10"/>
      <x:c r="B26" s="10"/>
      <x:c r="C26" s="10"/>
      <x:c r="D26" s="10"/>
      <x:c r="E26" s="10"/>
      <x:c r="F26" s="10"/>
      <x:c r="G26" s="10"/>
      <x:c r="H26" s="10"/>
    </x:row>
    <x:row r="27">
      <x:c r="A27" s="10"/>
      <x:c r="B27" s="10"/>
      <x:c r="C27" s="10"/>
      <x:c r="D27" s="10"/>
      <x:c r="E27" s="10"/>
      <x:c r="F27" s="10"/>
      <x:c r="G27" s="10"/>
      <x:c r="H27" s="10"/>
    </x:row>
    <x:row r="28">
      <x:c r="A28" s="10"/>
      <x:c r="B28" s="10"/>
      <x:c r="C28" s="10"/>
      <x:c r="D28" s="10"/>
      <x:c r="E28" s="10"/>
      <x:c r="F28" s="10"/>
      <x:c r="G28" s="10"/>
      <x:c r="H28" s="10"/>
    </x:row>
    <x:row r="29">
      <x:c r="A29" s="10"/>
      <x:c r="B29" s="10"/>
      <x:c r="C29" s="10"/>
      <x:c r="D29" s="10"/>
      <x:c r="E29" s="10"/>
      <x:c r="F29" s="10"/>
      <x:c r="G29" s="10"/>
      <x:c r="H29" s="10"/>
    </x:row>
    <x:row r="30">
      <x:c r="A30" s="10"/>
      <x:c r="B30" s="10"/>
      <x:c r="C30" s="10"/>
      <x:c r="D30" s="10"/>
      <x:c r="E30" s="10"/>
      <x:c r="F30" s="10"/>
      <x:c r="G30" s="10"/>
      <x:c r="H30" s="10"/>
    </x:row>
    <x:row r="31">
      <x:c r="A31" s="10"/>
      <x:c r="B31" s="10"/>
      <x:c r="C31" s="10"/>
      <x:c r="D31" s="10"/>
      <x:c r="E31" s="10"/>
      <x:c r="F31" s="10"/>
      <x:c r="G31" s="10"/>
      <x:c r="H31" s="10"/>
    </x:row>
    <x:row r="32">
      <x:c r="A32" s="10"/>
      <x:c r="B32" s="10"/>
      <x:c r="C32" s="10"/>
      <x:c r="D32" s="10"/>
      <x:c r="E32" s="10"/>
      <x:c r="F32" s="10"/>
      <x:c r="G32" s="10"/>
      <x:c r="H32" s="10"/>
    </x:row>
    <x:row r="33">
      <x:c r="A33" s="10"/>
      <x:c r="B33" s="10"/>
      <x:c r="C33" s="10"/>
      <x:c r="D33" s="10"/>
      <x:c r="E33" s="10"/>
      <x:c r="F33" s="10"/>
      <x:c r="G33" s="10"/>
      <x:c r="H33" s="10"/>
    </x:row>
    <x:row r="34">
      <x:c r="A34" s="10"/>
      <x:c r="B34" s="10"/>
      <x:c r="C34" s="10"/>
      <x:c r="D34" s="10"/>
      <x:c r="E34" s="10"/>
      <x:c r="F34" s="10"/>
      <x:c r="G34" s="10"/>
      <x:c r="H34" s="10"/>
    </x:row>
    <x:row r="35">
      <x:c r="A35" s="10"/>
      <x:c r="B35" s="10"/>
      <x:c r="C35" s="10"/>
      <x:c r="D35" s="10"/>
      <x:c r="E35" s="10"/>
      <x:c r="F35" s="10"/>
      <x:c r="G35" s="10"/>
      <x:c r="H35" s="10"/>
    </x:row>
    <x:row r="36">
      <x:c r="A36" s="10"/>
      <x:c r="B36" s="10"/>
      <x:c r="C36" s="10"/>
      <x:c r="D36" s="10"/>
      <x:c r="E36" s="10"/>
      <x:c r="F36" s="10"/>
      <x:c r="G36" s="10"/>
      <x:c r="H36" s="10"/>
    </x:row>
    <x:row r="37">
      <x:c r="A37" s="10"/>
      <x:c r="B37" s="10"/>
      <x:c r="C37" s="10"/>
      <x:c r="D37" s="10"/>
      <x:c r="E37" s="10"/>
      <x:c r="F37" s="10"/>
      <x:c r="G37" s="10"/>
      <x:c r="H37" s="10"/>
    </x:row>
    <x:row r="38">
      <x:c r="A38" s="10"/>
      <x:c r="B38" s="10"/>
      <x:c r="C38" s="10"/>
      <x:c r="D38" s="10"/>
      <x:c r="E38" s="10"/>
      <x:c r="F38" s="10"/>
      <x:c r="G38" s="10"/>
      <x:c r="H38" s="10"/>
    </x:row>
    <x:row r="39">
      <x:c r="A39" s="10"/>
      <x:c r="B39" s="10"/>
      <x:c r="C39" s="10"/>
      <x:c r="D39" s="10"/>
      <x:c r="E39" s="10"/>
      <x:c r="F39" s="10"/>
      <x:c r="G39" s="10"/>
      <x:c r="H39" s="10"/>
    </x:row>
    <x:row r="40">
      <x:c r="A40" s="10"/>
      <x:c r="B40" s="10"/>
      <x:c r="C40" s="10"/>
      <x:c r="D40" s="10"/>
      <x:c r="E40" s="10"/>
      <x:c r="F40" s="10"/>
      <x:c r="G40" s="10"/>
      <x:c r="H40" s="10"/>
    </x:row>
  </x:sheetData>
  <x:mergeCells>
    <x:mergeCell ref="A1:F1"/>
    <x:mergeCell ref="A3:B3"/>
    <x:mergeCell ref="A9:B9"/>
    <x:mergeCell ref="D3:G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1.380001068115234" hidden="0" customWidth="1"/>
    <x:col min="2" max="2" width="41.380001068115234" hidden="0" customWidth="1"/>
    <x:col min="3" max="3" width="41.380001068115234" hidden="0" customWidth="1"/>
    <x:col min="4" max="4" width="41.380001068115234" hidden="0" customWidth="1"/>
    <x:col min="5" max="5" width="41.380001068115234" hidden="0" customWidth="1"/>
    <x:col min="6" max="6" width="41.380001068115234" hidden="0" customWidth="1"/>
  </x:cols>
  <x:sheetData>
    <x:row r="1" ht="15" hidden="0" customHeight="1">
      <x:c r="A1" s="9" t="str">
        <x:v>MODELO FINANCEIRO - CONTRATO DE MANUTENCAO</x:v>
      </x:c>
      <x:c r="B1" s="9" t="str">
        <x:v>MODELO FINANCEIRO - CONTRATO DE MANUTENCAO</x:v>
      </x:c>
      <x:c r="C1" s="9" t="str">
        <x:v>MODELO FINANCEIRO - CONTRATO DE MANUTENCAO</x:v>
      </x:c>
      <x:c r="D1" s="9" t="str">
        <x:v>MODELO FINANCEIRO - CONTRATO DE MANUTENCAO</x:v>
      </x:c>
      <x:c r="E1" s="9" t="str">
        <x:v>MODELO FINANCEIRO - CONTRATO DE MANUTENCAO</x:v>
      </x:c>
      <x:c r="F1" s="9" t="str">
        <x:v>MODELO FINANCEIRO - CONTRATO DE MANUTENCAO</x:v>
      </x:c>
      <x:c r="G1" s="10"/>
      <x:c r="H1" s="10"/>
    </x:row>
    <x:row r="2" ht="15" hidden="0" customHeight="1">
      <x:c r="A2" s="10"/>
      <x:c r="B2" s="10"/>
      <x:c r="C2" s="10"/>
      <x:c r="D2" s="10"/>
      <x:c r="E2" s="10"/>
      <x:c r="F2" s="10"/>
      <x:c r="G2" s="10"/>
      <x:c r="H2" s="10"/>
    </x:row>
    <x:row r="3" ht="15" hidden="0" customHeight="1">
      <x:c r="A3" s="74" t="str">
        <x:v>Plano</x:v>
      </x:c>
      <x:c r="B3" s="75" t="str">
        <x:v>Perfil</x:v>
      </x:c>
      <x:c r="C3" s="75" t="str">
        <x:v>Mensalidade base</x:v>
      </x:c>
      <x:c r="D3" s="75" t="str">
        <x:v>Cobertura de referencia</x:v>
      </x:c>
      <x:c r="E3" s="75" t="str">
        <x:v>SLA</x:v>
      </x:c>
      <x:c r="F3" s="76" t="str">
        <x:v>Observacao</x:v>
      </x:c>
      <x:c r="G3" s="10"/>
      <x:c r="H3" s="10"/>
    </x:row>
    <x:row r="4" ht="15" hidden="0" customHeight="1">
      <x:c r="A4" s="69" t="str">
        <x:v>Essencial</x:v>
      </x:c>
      <x:c r="B4" s="24" t="str">
        <x:v>Pequenas empresas</x:v>
      </x:c>
      <x:c r="C4" s="28" t="n">
        <x:v>1490</x:v>
      </x:c>
      <x:c r="D4" s="24" t="str">
        <x:v>Ate 10 ativos</x:v>
      </x:c>
      <x:c r="E4" s="24" t="str">
        <x:v>Resposta em ate 4h uteis</x:v>
      </x:c>
      <x:c r="F4" s="63" t="str">
        <x:v>Remoto, preventiva bimestral</x:v>
      </x:c>
      <x:c r="G4" s="10"/>
      <x:c r="H4" s="10"/>
    </x:row>
    <x:row r="5" ht="15" hidden="0" customHeight="1">
      <x:c r="A5" s="69" t="str">
        <x:v>Continuidade</x:v>
      </x:c>
      <x:c r="B5" s="24" t="str">
        <x:v>PMEs que nao podem parar</x:v>
      </x:c>
      <x:c r="C5" s="28" t="n">
        <x:v>2990</x:v>
      </x:c>
      <x:c r="D5" s="24" t="str">
        <x:v>Ate 25 ativos</x:v>
      </x:c>
      <x:c r="E5" s="24" t="str">
        <x:v>Resposta em ate 2h uteis</x:v>
      </x:c>
      <x:c r="F5" s="63" t="str">
        <x:v>Monitoramento 24x7 e visita mensal</x:v>
      </x:c>
      <x:c r="G5" s="10"/>
      <x:c r="H5" s="10"/>
    </x:row>
    <x:row r="6" ht="15" hidden="0" customHeight="1">
      <x:c r="A6" s="71" t="str">
        <x:v>Missao Critica</x:v>
      </x:c>
      <x:c r="B6" s="77" t="str">
        <x:v>Operacoes sensiveis</x:v>
      </x:c>
      <x:c r="C6" s="78" t="n">
        <x:v>5490</x:v>
      </x:c>
      <x:c r="D6" s="77" t="str">
        <x:v>Ate 50 ativos</x:v>
      </x:c>
      <x:c r="E6" s="77" t="str">
        <x:v>Resposta em ate 30 min</x:v>
      </x:c>
      <x:c r="F6" s="64" t="str">
        <x:v>Prioridade maxima e revisao executiva</x:v>
      </x:c>
      <x:c r="G6" s="10"/>
      <x:c r="H6" s="10"/>
    </x:row>
    <x:row r="7" ht="15" hidden="0" customHeight="1">
      <x:c r="A7" s="10"/>
      <x:c r="B7" s="10"/>
      <x:c r="C7" s="10"/>
      <x:c r="D7" s="10"/>
      <x:c r="E7" s="10"/>
      <x:c r="F7" s="10"/>
      <x:c r="G7" s="10"/>
      <x:c r="H7" s="10"/>
    </x:row>
    <x:row r="8" ht="15" hidden="0" customHeight="1">
      <x:c r="A8" s="10"/>
      <x:c r="B8" s="10"/>
      <x:c r="C8" s="10"/>
      <x:c r="D8" s="10"/>
      <x:c r="E8" s="10"/>
      <x:c r="F8" s="10"/>
      <x:c r="G8" s="10"/>
      <x:c r="H8" s="10"/>
    </x:row>
    <x:row r="9" ht="15" hidden="0" customHeight="1">
      <x:c r="A9" s="10"/>
      <x:c r="B9" s="10"/>
      <x:c r="C9" s="10"/>
      <x:c r="D9" s="10"/>
      <x:c r="E9" s="10"/>
      <x:c r="F9" s="10"/>
      <x:c r="G9" s="10"/>
      <x:c r="H9" s="10"/>
    </x:row>
    <x:row r="10" ht="15" hidden="0" customHeight="1">
      <x:c r="A10" s="10"/>
      <x:c r="B10" s="10"/>
      <x:c r="C10" s="10"/>
      <x:c r="D10" s="10"/>
      <x:c r="E10" s="10"/>
      <x:c r="F10" s="10"/>
      <x:c r="G10" s="10"/>
      <x:c r="H10" s="10"/>
    </x:row>
    <x:row r="11">
      <x:c r="A11" s="10"/>
      <x:c r="B11" s="10"/>
      <x:c r="C11" s="10"/>
      <x:c r="D11" s="10"/>
      <x:c r="E11" s="10"/>
      <x:c r="F11" s="10"/>
      <x:c r="G11" s="10"/>
      <x:c r="H11" s="10"/>
    </x:row>
    <x:row r="12">
      <x:c r="A12" s="10"/>
      <x:c r="B12" s="10"/>
      <x:c r="C12" s="10"/>
      <x:c r="D12" s="10"/>
      <x:c r="E12" s="10"/>
      <x:c r="F12" s="10"/>
      <x:c r="G12" s="10"/>
      <x:c r="H12" s="10"/>
    </x:row>
    <x:row r="13">
      <x:c r="A13" s="10"/>
      <x:c r="B13" s="10"/>
      <x:c r="C13" s="10"/>
      <x:c r="D13" s="10"/>
      <x:c r="E13" s="10"/>
      <x:c r="F13" s="10"/>
      <x:c r="G13" s="10"/>
      <x:c r="H13" s="10"/>
    </x:row>
    <x:row r="14">
      <x:c r="A14" s="10"/>
      <x:c r="B14" s="10"/>
      <x:c r="C14" s="10"/>
      <x:c r="D14" s="10"/>
      <x:c r="E14" s="10"/>
      <x:c r="F14" s="10"/>
      <x:c r="G14" s="10"/>
      <x:c r="H14" s="10"/>
    </x:row>
    <x:row r="15">
      <x:c r="A15" s="10"/>
      <x:c r="B15" s="10"/>
      <x:c r="C15" s="10"/>
      <x:c r="D15" s="10"/>
      <x:c r="E15" s="10"/>
      <x:c r="F15" s="10"/>
      <x:c r="G15" s="10"/>
      <x:c r="H15" s="10"/>
    </x:row>
    <x:row r="16">
      <x:c r="A16" s="10"/>
      <x:c r="B16" s="10"/>
      <x:c r="C16" s="10"/>
      <x:c r="D16" s="10"/>
      <x:c r="E16" s="10"/>
      <x:c r="F16" s="10"/>
      <x:c r="G16" s="10"/>
      <x:c r="H16" s="10"/>
    </x:row>
    <x:row r="17">
      <x:c r="A17" s="10"/>
      <x:c r="B17" s="10"/>
      <x:c r="C17" s="10"/>
      <x:c r="D17" s="10"/>
      <x:c r="E17" s="10"/>
      <x:c r="F17" s="10"/>
      <x:c r="G17" s="10"/>
      <x:c r="H17" s="10"/>
    </x:row>
    <x:row r="18">
      <x:c r="A18" s="10"/>
      <x:c r="B18" s="10"/>
      <x:c r="C18" s="10"/>
      <x:c r="D18" s="10"/>
      <x:c r="E18" s="10"/>
      <x:c r="F18" s="10"/>
      <x:c r="G18" s="10"/>
      <x:c r="H18" s="10"/>
    </x:row>
    <x:row r="19">
      <x:c r="A19" s="10"/>
      <x:c r="B19" s="10"/>
      <x:c r="C19" s="10"/>
      <x:c r="D19" s="10"/>
      <x:c r="E19" s="10"/>
      <x:c r="F19" s="10"/>
      <x:c r="G19" s="10"/>
      <x:c r="H19" s="10"/>
    </x:row>
    <x:row r="20">
      <x:c r="A20" s="10"/>
      <x:c r="B20" s="10"/>
      <x:c r="C20" s="10"/>
      <x:c r="D20" s="10"/>
      <x:c r="E20" s="10"/>
      <x:c r="F20" s="10"/>
      <x:c r="G20" s="10"/>
      <x:c r="H20" s="10"/>
    </x:row>
    <x:row r="21">
      <x:c r="A21" s="10"/>
      <x:c r="B21" s="10"/>
      <x:c r="C21" s="10"/>
      <x:c r="D21" s="10"/>
      <x:c r="E21" s="10"/>
      <x:c r="F21" s="10"/>
      <x:c r="G21" s="10"/>
      <x:c r="H21" s="10"/>
    </x:row>
    <x:row r="22">
      <x:c r="A22" s="10"/>
      <x:c r="B22" s="10"/>
      <x:c r="C22" s="10"/>
      <x:c r="D22" s="10"/>
      <x:c r="E22" s="10"/>
      <x:c r="F22" s="10"/>
      <x:c r="G22" s="10"/>
      <x:c r="H22" s="10"/>
    </x:row>
    <x:row r="23">
      <x:c r="A23" s="10"/>
      <x:c r="B23" s="10"/>
      <x:c r="C23" s="10"/>
      <x:c r="D23" s="10"/>
      <x:c r="E23" s="10"/>
      <x:c r="F23" s="10"/>
      <x:c r="G23" s="10"/>
      <x:c r="H23" s="10"/>
    </x:row>
    <x:row r="24">
      <x:c r="A24" s="10"/>
      <x:c r="B24" s="10"/>
      <x:c r="C24" s="10"/>
      <x:c r="D24" s="10"/>
      <x:c r="E24" s="10"/>
      <x:c r="F24" s="10"/>
      <x:c r="G24" s="10"/>
      <x:c r="H24" s="10"/>
    </x:row>
    <x:row r="25">
      <x:c r="A25" s="10"/>
      <x:c r="B25" s="10"/>
      <x:c r="C25" s="10"/>
      <x:c r="D25" s="10"/>
      <x:c r="E25" s="10"/>
      <x:c r="F25" s="10"/>
      <x:c r="G25" s="10"/>
      <x:c r="H25" s="10"/>
    </x:row>
    <x:row r="26">
      <x:c r="A26" s="10"/>
      <x:c r="B26" s="10"/>
      <x:c r="C26" s="10"/>
      <x:c r="D26" s="10"/>
      <x:c r="E26" s="10"/>
      <x:c r="F26" s="10"/>
      <x:c r="G26" s="10"/>
      <x:c r="H26" s="10"/>
    </x:row>
    <x:row r="27">
      <x:c r="A27" s="10"/>
      <x:c r="B27" s="10"/>
      <x:c r="C27" s="10"/>
      <x:c r="D27" s="10"/>
      <x:c r="E27" s="10"/>
      <x:c r="F27" s="10"/>
      <x:c r="G27" s="10"/>
      <x:c r="H27" s="10"/>
    </x:row>
    <x:row r="28">
      <x:c r="A28" s="10"/>
      <x:c r="B28" s="10"/>
      <x:c r="C28" s="10"/>
      <x:c r="D28" s="10"/>
      <x:c r="E28" s="10"/>
      <x:c r="F28" s="10"/>
      <x:c r="G28" s="10"/>
      <x:c r="H28" s="10"/>
    </x:row>
    <x:row r="29">
      <x:c r="A29" s="10"/>
      <x:c r="B29" s="10"/>
      <x:c r="C29" s="10"/>
      <x:c r="D29" s="10"/>
      <x:c r="E29" s="10"/>
      <x:c r="F29" s="10"/>
      <x:c r="G29" s="10"/>
      <x:c r="H29" s="10"/>
    </x:row>
    <x:row r="30">
      <x:c r="A30" s="10"/>
      <x:c r="B30" s="10"/>
      <x:c r="C30" s="10"/>
      <x:c r="D30" s="10"/>
      <x:c r="E30" s="10"/>
      <x:c r="F30" s="10"/>
      <x:c r="G30" s="10"/>
      <x:c r="H30" s="10"/>
    </x:row>
    <x:row r="31">
      <x:c r="A31" s="10"/>
      <x:c r="B31" s="10"/>
      <x:c r="C31" s="10"/>
      <x:c r="D31" s="10"/>
      <x:c r="E31" s="10"/>
      <x:c r="F31" s="10"/>
      <x:c r="G31" s="10"/>
      <x:c r="H31" s="10"/>
    </x:row>
    <x:row r="32">
      <x:c r="A32" s="10"/>
      <x:c r="B32" s="10"/>
      <x:c r="C32" s="10"/>
      <x:c r="D32" s="10"/>
      <x:c r="E32" s="10"/>
      <x:c r="F32" s="10"/>
      <x:c r="G32" s="10"/>
      <x:c r="H32" s="10"/>
    </x:row>
    <x:row r="33">
      <x:c r="A33" s="10"/>
      <x:c r="B33" s="10"/>
      <x:c r="C33" s="10"/>
      <x:c r="D33" s="10"/>
      <x:c r="E33" s="10"/>
      <x:c r="F33" s="10"/>
      <x:c r="G33" s="10"/>
      <x:c r="H33" s="10"/>
    </x:row>
    <x:row r="34">
      <x:c r="A34" s="10"/>
      <x:c r="B34" s="10"/>
      <x:c r="C34" s="10"/>
      <x:c r="D34" s="10"/>
      <x:c r="E34" s="10"/>
      <x:c r="F34" s="10"/>
      <x:c r="G34" s="10"/>
      <x:c r="H34" s="10"/>
    </x:row>
    <x:row r="35">
      <x:c r="A35" s="10"/>
      <x:c r="B35" s="10"/>
      <x:c r="C35" s="10"/>
      <x:c r="D35" s="10"/>
      <x:c r="E35" s="10"/>
      <x:c r="F35" s="10"/>
      <x:c r="G35" s="10"/>
      <x:c r="H35" s="10"/>
    </x:row>
    <x:row r="36">
      <x:c r="A36" s="10"/>
      <x:c r="B36" s="10"/>
      <x:c r="C36" s="10"/>
      <x:c r="D36" s="10"/>
      <x:c r="E36" s="10"/>
      <x:c r="F36" s="10"/>
      <x:c r="G36" s="10"/>
      <x:c r="H36" s="10"/>
    </x:row>
    <x:row r="37">
      <x:c r="A37" s="10"/>
      <x:c r="B37" s="10"/>
      <x:c r="C37" s="10"/>
      <x:c r="D37" s="10"/>
      <x:c r="E37" s="10"/>
      <x:c r="F37" s="10"/>
      <x:c r="G37" s="10"/>
      <x:c r="H37" s="10"/>
    </x:row>
    <x:row r="38">
      <x:c r="A38" s="10"/>
      <x:c r="B38" s="10"/>
      <x:c r="C38" s="10"/>
      <x:c r="D38" s="10"/>
      <x:c r="E38" s="10"/>
      <x:c r="F38" s="10"/>
      <x:c r="G38" s="10"/>
      <x:c r="H38" s="10"/>
    </x:row>
    <x:row r="39">
      <x:c r="A39" s="10"/>
      <x:c r="B39" s="10"/>
      <x:c r="C39" s="10"/>
      <x:c r="D39" s="10"/>
      <x:c r="E39" s="10"/>
      <x:c r="F39" s="10"/>
      <x:c r="G39" s="10"/>
      <x:c r="H39" s="10"/>
    </x:row>
    <x:row r="40">
      <x:c r="A40" s="10"/>
      <x:c r="B40" s="10"/>
      <x:c r="C40" s="10"/>
      <x:c r="D40" s="10"/>
      <x:c r="E40" s="10"/>
      <x:c r="F40" s="10"/>
      <x:c r="G40" s="10"/>
      <x:c r="H40" s="10"/>
    </x:row>
  </x:sheetData>
  <x:mergeCells>
    <x:mergeCell ref="A1:F1"/>
  </x:mergeCells>
  <x:pageMargins left="0.7" right="0.7" top="0.75" bottom="0.75" header="0.3" footer="0.3"/>
</x:worksheet>
</file>